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fomax\Documents\Codex\펀드차트\fund_returns_daily\"/>
    </mc:Choice>
  </mc:AlternateContent>
  <xr:revisionPtr revIDLastSave="0" documentId="13_ncr:1_{9468A5C1-D0A5-4851-860D-4E919E8427D3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bb" sheetId="1" r:id="rId1"/>
    <sheet name="i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2" l="1"/>
  <c r="B1" i="2"/>
  <c r="F5" i="1"/>
  <c r="C5" i="1"/>
  <c r="H5" i="1"/>
  <c r="I5" i="1"/>
  <c r="G5" i="1"/>
  <c r="J5" i="1"/>
  <c r="E5" i="1"/>
  <c r="K5" i="1"/>
  <c r="L5" i="1"/>
  <c r="D5" i="1"/>
  <c r="A5" i="1"/>
  <c r="C2" i="2"/>
  <c r="A2" i="2"/>
</calcChain>
</file>

<file path=xl/sharedStrings.xml><?xml version="1.0" encoding="utf-8"?>
<sst xmlns="http://schemas.openxmlformats.org/spreadsheetml/2006/main" count="49" uniqueCount="39">
  <si>
    <t>S&amp;P500</t>
    <phoneticPr fontId="1" type="noConversion"/>
  </si>
  <si>
    <t>Date</t>
    <phoneticPr fontId="1" type="noConversion"/>
  </si>
  <si>
    <t>ACWI</t>
    <phoneticPr fontId="1" type="noConversion"/>
  </si>
  <si>
    <t>KOSPI</t>
    <phoneticPr fontId="1" type="noConversion"/>
  </si>
  <si>
    <t>KOSPI Index</t>
    <phoneticPr fontId="1" type="noConversion"/>
  </si>
  <si>
    <t>SPX Index</t>
    <phoneticPr fontId="1" type="noConversion"/>
  </si>
  <si>
    <t>NASDAQ</t>
    <phoneticPr fontId="1" type="noConversion"/>
  </si>
  <si>
    <t>CCMP Index</t>
    <phoneticPr fontId="1" type="noConversion"/>
  </si>
  <si>
    <t>ACWI Index</t>
    <phoneticPr fontId="1" type="noConversion"/>
  </si>
  <si>
    <t>KOSDAQ Index</t>
    <phoneticPr fontId="1" type="noConversion"/>
  </si>
  <si>
    <t>KOSDAQ</t>
    <phoneticPr fontId="1" type="noConversion"/>
  </si>
  <si>
    <t>IEF US EQUITY</t>
    <phoneticPr fontId="1" type="noConversion"/>
  </si>
  <si>
    <t>UST10</t>
    <phoneticPr fontId="1" type="noConversion"/>
  </si>
  <si>
    <t>SHY US EQUITY</t>
    <phoneticPr fontId="1" type="noConversion"/>
  </si>
  <si>
    <t>UST02</t>
    <phoneticPr fontId="1" type="noConversion"/>
  </si>
  <si>
    <t>KORP7D Index</t>
    <phoneticPr fontId="1" type="noConversion"/>
  </si>
  <si>
    <t>KOR_Rate</t>
    <phoneticPr fontId="1" type="noConversion"/>
  </si>
  <si>
    <t>KRFRRATE Index</t>
    <phoneticPr fontId="1" type="noConversion"/>
  </si>
  <si>
    <t>KOFR</t>
    <phoneticPr fontId="1" type="noConversion"/>
  </si>
  <si>
    <t>SOFR</t>
    <phoneticPr fontId="1" type="noConversion"/>
  </si>
  <si>
    <t>SOFRRATE Index</t>
    <phoneticPr fontId="1" type="noConversion"/>
  </si>
  <si>
    <t>PRICE</t>
    <phoneticPr fontId="1" type="noConversion"/>
  </si>
  <si>
    <t>RATE</t>
    <phoneticPr fontId="1" type="noConversion"/>
  </si>
  <si>
    <t>KOCRD Index</t>
    <phoneticPr fontId="1" type="noConversion"/>
  </si>
  <si>
    <t>KOR_Call</t>
    <phoneticPr fontId="1" type="noConversion"/>
  </si>
  <si>
    <t>시작</t>
  </si>
  <si>
    <t>종료</t>
  </si>
  <si>
    <t>Data 개수</t>
  </si>
  <si>
    <t>주기</t>
  </si>
  <si>
    <t>일</t>
  </si>
  <si>
    <t>정렬</t>
  </si>
  <si>
    <t>A</t>
  </si>
  <si>
    <t>영업일</t>
  </si>
  <si>
    <t>시세산출</t>
  </si>
  <si>
    <t>종가</t>
  </si>
  <si>
    <t>일자</t>
  </si>
  <si>
    <t>지수(산출일)</t>
  </si>
  <si>
    <t>KOBI30</t>
    <phoneticPr fontId="1" type="noConversion"/>
  </si>
  <si>
    <t>KOBI120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</si>
</sst>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" fontId="0" fillId="0" borderId="0" xfId="0" applyNumberFormat="1">
      <alignment vertical="center"/>
    </xf>
    <xf numFmtId="14" fontId="0" fillId="0" borderId="0" xfId="0" applyNumberFormat="1">
      <alignment vertical="center"/>
    </xf>
    <xf numFmtId="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BDH|15782993403587252164</stp>
        <tr r="L5" s="1"/>
      </tp>
      <tp t="s">
        <v>#N/A N/A</v>
        <stp/>
        <stp>BDH|11315092356116255983</stp>
        <tr r="I5" s="1"/>
      </tp>
      <tp t="s">
        <v>#N/A N/A</v>
        <stp/>
        <stp>BDH|11385315177207898050</stp>
        <tr r="G5" s="1"/>
      </tp>
      <tp t="s">
        <v>#N/A N/A</v>
        <stp/>
        <stp>BDH|11490674522801029035</stp>
        <tr r="F5" s="1"/>
      </tp>
      <tp t="s">
        <v>#N/A N/A</v>
        <stp/>
        <stp>BDH|15131720340035020745</stp>
        <tr r="D5" s="1"/>
      </tp>
    </main>
    <main first="infomax.xlrtd">
      <tp>
        <v>0</v>
        <stp/>
        <stp>H</stp>
        <stp>x1.tBGU1</stp>
        <stp>3</stp>
        <stp>150110</stp>
        <tr r="C2" s="2"/>
      </tp>
      <tp>
        <v>0</v>
        <stp/>
        <stp>H</stp>
        <stp>x2.tBGU1</stp>
        <stp>4</stp>
        <stp>150110</stp>
        <tr r="A2" s="2"/>
      </tp>
    </main>
    <main first="bofaddin.rtdserver">
      <tp t="s">
        <v>#N/A N/A</v>
        <stp/>
        <stp>BDH|9876331513570668036</stp>
        <tr r="C5" s="1"/>
      </tp>
    </main>
    <main first="bofaddin.rtdserver">
      <tp t="s">
        <v>#N/A N/A</v>
        <stp/>
        <stp>BDH|5652022765331920739</stp>
        <tr r="H5" s="1"/>
      </tp>
    </main>
    <main first="bofaddin.rtdserver">
      <tp t="s">
        <v>#N/A N/A</v>
        <stp/>
        <stp>BDH|2175761103597528495</stp>
        <tr r="E5" s="1"/>
      </tp>
      <tp t="s">
        <v>#N/A N/A</v>
        <stp/>
        <stp>BDH|5854475337756482317</stp>
        <tr r="A5" s="1"/>
      </tp>
    </main>
    <main first="bofaddin.rtdserver">
      <tp t="s">
        <v>#N/A N/A</v>
        <stp/>
        <stp>BDH|2944154254030043525</stp>
        <tr r="J5" s="1"/>
      </tp>
    </main>
    <main first="bofaddin.rtdserver">
      <tp t="s">
        <v>#N/A N/A</v>
        <stp/>
        <stp>BDH|236529639923212844</stp>
        <tr r="K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844"/>
  <sheetViews>
    <sheetView tabSelected="1" workbookViewId="0">
      <pane xSplit="1" ySplit="4" topLeftCell="B1201" activePane="bottomRight" state="frozen"/>
      <selection pane="topRight" activeCell="B1" sqref="B1"/>
      <selection pane="bottomLeft" activeCell="A5" sqref="A5"/>
      <selection pane="bottomRight" activeCell="G1207" sqref="G1207"/>
    </sheetView>
  </sheetViews>
  <sheetFormatPr defaultRowHeight="16.5" x14ac:dyDescent="0.3"/>
  <cols>
    <col min="1" max="1" width="10.75" style="2" customWidth="1"/>
    <col min="2" max="2" width="11.125" customWidth="1"/>
    <col min="3" max="3" width="10.125" customWidth="1"/>
    <col min="4" max="4" width="9.75" customWidth="1"/>
  </cols>
  <sheetData>
    <row r="1" spans="1:12" x14ac:dyDescent="0.3">
      <c r="B1" s="4">
        <v>44562</v>
      </c>
      <c r="C1" s="4">
        <v>46260</v>
      </c>
    </row>
    <row r="2" spans="1:12" x14ac:dyDescent="0.3"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 t="s">
        <v>22</v>
      </c>
      <c r="L2" t="s">
        <v>22</v>
      </c>
    </row>
    <row r="3" spans="1:12" x14ac:dyDescent="0.3">
      <c r="B3" t="s">
        <v>5</v>
      </c>
      <c r="C3" t="s">
        <v>7</v>
      </c>
      <c r="D3" t="s">
        <v>8</v>
      </c>
      <c r="E3" t="s">
        <v>4</v>
      </c>
      <c r="F3" t="s">
        <v>9</v>
      </c>
      <c r="G3" t="s">
        <v>13</v>
      </c>
      <c r="H3" t="s">
        <v>11</v>
      </c>
      <c r="I3" t="s">
        <v>15</v>
      </c>
      <c r="J3" t="s">
        <v>17</v>
      </c>
      <c r="K3" t="s">
        <v>20</v>
      </c>
      <c r="L3" t="s">
        <v>23</v>
      </c>
    </row>
    <row r="4" spans="1:12" x14ac:dyDescent="0.3">
      <c r="A4" s="2" t="s">
        <v>1</v>
      </c>
      <c r="B4" t="s">
        <v>0</v>
      </c>
      <c r="C4" t="s">
        <v>6</v>
      </c>
      <c r="D4" t="s">
        <v>2</v>
      </c>
      <c r="E4" t="s">
        <v>3</v>
      </c>
      <c r="F4" t="s">
        <v>10</v>
      </c>
      <c r="G4" t="s">
        <v>14</v>
      </c>
      <c r="H4" t="s">
        <v>12</v>
      </c>
      <c r="I4" t="s">
        <v>16</v>
      </c>
      <c r="J4" t="s">
        <v>18</v>
      </c>
      <c r="K4" t="s">
        <v>19</v>
      </c>
      <c r="L4" t="s">
        <v>24</v>
      </c>
    </row>
    <row r="5" spans="1:12" x14ac:dyDescent="0.3">
      <c r="A5" s="2">
        <f>_xll.BDH(B$3,"PX_LAST",$B$1,$C$1,"Dir=V","Dts=S","Sort=A","Quote=C","QtTyp=P","CDR=5D","Per=D","DtFmt=D","cols=2;rows=1213")</f>
        <v>44564</v>
      </c>
      <c r="B5" s="11">
        <v>4796.5600000000004</v>
      </c>
      <c r="C5" s="11">
        <f>_xll.BDH(C$3,"PX_LAST",$B$1,$C$1,"Dir=V","Dts=H","Sort=A","Quote=C","QtTyp=P","CDR=5D","Per=D","DtFmt=D","cols=1;rows=1213")</f>
        <v>15832.8</v>
      </c>
      <c r="D5" s="11">
        <f>_xll.BDH(D$3,"PX_LAST",$B$1,$C$1,"Dir=V","Dts=H","Sort=A","Quote=C","QtTyp=P","CDR=5D","Per=D","DtFmt=D","cols=1;rows=1213")</f>
        <v>98.496300000000005</v>
      </c>
      <c r="E5" s="11">
        <f>_xll.BDH(E$3,"PX_LAST",$B$1,$C$1,"Dir=V","Dts=H","Sort=A","Quote=C","QtTyp=P","CDR=5D","Per=D","DtFmt=D","cols=1;rows=1213")</f>
        <v>2988.77</v>
      </c>
      <c r="F5" s="11">
        <f>_xll.BDH(F$3,"PX_LAST",$B$1,$C$1,"Dir=V","Dts=H","Sort=A","Quote=C","QtTyp=P","CDR=5D","Per=D","DtFmt=D","cols=1;rows=1213")</f>
        <v>1037.83</v>
      </c>
      <c r="G5" s="11">
        <f>_xll.BDH(G$3,"PX_LAST",$B$1,$C$1,"Dir=V","Dts=H","Sort=A","Quote=C","QtTyp=P","CDR=5D","Per=D","DtFmt=D","cols=1;rows=1213")</f>
        <v>74.213200000000001</v>
      </c>
      <c r="H5" s="11">
        <f>_xll.BDH(H$3,"PX_LAST",$B$1,$C$1,"Dir=V","Dts=H","Sort=A","Quote=C","QtTyp=P","CDR=5D","Per=D","DtFmt=D","cols=1;rows=1213")</f>
        <v>98.640500000000003</v>
      </c>
      <c r="I5" s="11">
        <f>_xll.BDH(I$3,"PX_LAST",$B$1,$C$1,"Dir=V","Dts=H","Sort=A","Quote=C","QtTyp=P","CDR=5D","Per=D","DtFmt=D","cols=1;rows=1213")</f>
        <v>1</v>
      </c>
      <c r="J5" s="11">
        <f>_xll.BDH(J$3,"PX_LAST",$B$1,$C$1,"Dir=V","Dts=H","Sort=A","Quote=C","QtTyp=P","CDR=5D","Per=D","DtFmt=D","cols=1;rows=1213")</f>
        <v>1.0900000000000001</v>
      </c>
      <c r="K5" s="11">
        <f>_xll.BDH(K$3,"PX_LAST",$B$1,$C$1,"Dir=V","Dts=H","Sort=A","Quote=C","QtTyp=P","CDR=5D","Per=D","DtFmt=D","cols=1;rows=1213")</f>
        <v>0.05</v>
      </c>
      <c r="L5" s="11">
        <f>_xll.BDH(L$3,"PX_LAST",$B$1,$C$1,"Dir=V","Dts=H","Sort=A","Quote=C","QtTyp=P","CDR=5D","Per=D","DtFmt=D","cols=1;rows=1213")</f>
        <v>1.0029999999999999</v>
      </c>
    </row>
    <row r="6" spans="1:12" x14ac:dyDescent="0.3">
      <c r="A6" s="2">
        <v>44565</v>
      </c>
      <c r="B6" s="11">
        <v>4793.54</v>
      </c>
      <c r="C6" s="11">
        <v>15622.72</v>
      </c>
      <c r="D6" s="11">
        <v>98.412999999999997</v>
      </c>
      <c r="E6" s="11">
        <v>2989.24</v>
      </c>
      <c r="F6" s="11">
        <v>1031.6600000000001</v>
      </c>
      <c r="G6" s="11">
        <v>74.256600000000006</v>
      </c>
      <c r="H6" s="11">
        <v>98.588499999999996</v>
      </c>
      <c r="I6" s="11">
        <v>1</v>
      </c>
      <c r="J6" s="11">
        <v>1.0029999999999999</v>
      </c>
      <c r="K6" s="11">
        <v>0.05</v>
      </c>
      <c r="L6" s="11">
        <v>1</v>
      </c>
    </row>
    <row r="7" spans="1:12" x14ac:dyDescent="0.3">
      <c r="A7" s="2">
        <v>44566</v>
      </c>
      <c r="B7" s="11">
        <v>4700.58</v>
      </c>
      <c r="C7" s="11">
        <v>15100.17</v>
      </c>
      <c r="D7" s="11">
        <v>96.810599999999994</v>
      </c>
      <c r="E7" s="11">
        <v>2953.97</v>
      </c>
      <c r="F7" s="11">
        <v>1009.62</v>
      </c>
      <c r="G7" s="11">
        <v>74.161100000000005</v>
      </c>
      <c r="H7" s="11">
        <v>98.172899999999998</v>
      </c>
      <c r="I7" s="11">
        <v>1</v>
      </c>
      <c r="J7" s="11">
        <v>1.002</v>
      </c>
      <c r="K7" s="11">
        <v>0.05</v>
      </c>
      <c r="L7" s="11">
        <v>0.98699999999999999</v>
      </c>
    </row>
    <row r="8" spans="1:12" x14ac:dyDescent="0.3">
      <c r="A8" s="2">
        <v>44567</v>
      </c>
      <c r="B8" s="11">
        <v>4696.05</v>
      </c>
      <c r="C8" s="11">
        <v>15080.87</v>
      </c>
      <c r="D8" s="11">
        <v>96.606800000000007</v>
      </c>
      <c r="E8" s="11">
        <v>2920.53</v>
      </c>
      <c r="F8" s="11">
        <v>980.3</v>
      </c>
      <c r="G8" s="11">
        <v>74.100300000000004</v>
      </c>
      <c r="H8" s="11">
        <v>97.930499999999995</v>
      </c>
      <c r="I8" s="11">
        <v>1</v>
      </c>
      <c r="J8" s="11">
        <v>1.0620000000000001</v>
      </c>
      <c r="K8" s="11">
        <v>0.05</v>
      </c>
      <c r="L8" s="11">
        <v>1</v>
      </c>
    </row>
    <row r="9" spans="1:12" x14ac:dyDescent="0.3">
      <c r="A9" s="2">
        <v>44568</v>
      </c>
      <c r="B9" s="11">
        <v>4677.03</v>
      </c>
      <c r="C9" s="11">
        <v>14935.9</v>
      </c>
      <c r="D9" s="11">
        <v>96.588300000000004</v>
      </c>
      <c r="E9" s="11">
        <v>2954.89</v>
      </c>
      <c r="F9" s="11">
        <v>995.16</v>
      </c>
      <c r="G9" s="11">
        <v>74.082899999999995</v>
      </c>
      <c r="H9" s="11">
        <v>97.610200000000006</v>
      </c>
      <c r="I9" s="11">
        <v>1</v>
      </c>
      <c r="J9" s="11">
        <v>1.109</v>
      </c>
      <c r="K9" s="11">
        <v>0.05</v>
      </c>
      <c r="L9" s="11">
        <v>1.004</v>
      </c>
    </row>
    <row r="10" spans="1:12" x14ac:dyDescent="0.3">
      <c r="A10" s="2">
        <v>44571</v>
      </c>
      <c r="B10" s="11">
        <v>4670.29</v>
      </c>
      <c r="C10" s="11">
        <v>14942.83</v>
      </c>
      <c r="D10" s="11">
        <v>96.310400000000001</v>
      </c>
      <c r="E10" s="11">
        <v>2926.72</v>
      </c>
      <c r="F10" s="11">
        <v>980.38</v>
      </c>
      <c r="G10" s="11">
        <v>74.039400000000001</v>
      </c>
      <c r="H10" s="11">
        <v>97.584199999999996</v>
      </c>
      <c r="I10" s="11">
        <v>1</v>
      </c>
      <c r="J10" s="11">
        <v>1.1060000000000001</v>
      </c>
      <c r="K10" s="11">
        <v>0.05</v>
      </c>
      <c r="L10" s="11">
        <v>1.0680000000000001</v>
      </c>
    </row>
    <row r="11" spans="1:12" x14ac:dyDescent="0.3">
      <c r="A11" s="2">
        <v>44572</v>
      </c>
      <c r="B11" s="11">
        <v>4713.07</v>
      </c>
      <c r="C11" s="11">
        <v>15153.45</v>
      </c>
      <c r="D11" s="11">
        <v>97.459000000000003</v>
      </c>
      <c r="E11" s="11">
        <v>2927.38</v>
      </c>
      <c r="F11" s="11">
        <v>969.92</v>
      </c>
      <c r="G11" s="11">
        <v>74.0655</v>
      </c>
      <c r="H11" s="11">
        <v>97.817999999999998</v>
      </c>
      <c r="I11" s="11">
        <v>1</v>
      </c>
      <c r="J11" s="11">
        <v>1.077</v>
      </c>
      <c r="K11" s="11">
        <v>0.05</v>
      </c>
      <c r="L11" s="11">
        <v>1.0009999999999999</v>
      </c>
    </row>
    <row r="12" spans="1:12" x14ac:dyDescent="0.3">
      <c r="A12" s="2">
        <v>44573</v>
      </c>
      <c r="B12" s="11">
        <v>4726.3500000000004</v>
      </c>
      <c r="C12" s="11">
        <v>15188.39</v>
      </c>
      <c r="D12" s="11">
        <v>98.051699999999997</v>
      </c>
      <c r="E12" s="11">
        <v>2972.48</v>
      </c>
      <c r="F12" s="11">
        <v>991.33</v>
      </c>
      <c r="G12" s="11">
        <v>74.039400000000001</v>
      </c>
      <c r="H12" s="11">
        <v>97.835300000000004</v>
      </c>
      <c r="I12" s="11">
        <v>1</v>
      </c>
      <c r="J12" s="11">
        <v>1.107</v>
      </c>
      <c r="K12" s="11">
        <v>0.05</v>
      </c>
      <c r="L12" s="11">
        <v>1.0169999999999999</v>
      </c>
    </row>
    <row r="13" spans="1:12" x14ac:dyDescent="0.3">
      <c r="A13" s="2">
        <v>44574</v>
      </c>
      <c r="B13" s="11">
        <v>4659.03</v>
      </c>
      <c r="C13" s="11">
        <v>14806.81</v>
      </c>
      <c r="D13" s="11">
        <v>96.736500000000007</v>
      </c>
      <c r="E13" s="11">
        <v>2962.09</v>
      </c>
      <c r="F13" s="11">
        <v>983.25</v>
      </c>
      <c r="G13" s="11">
        <v>74.074200000000005</v>
      </c>
      <c r="H13" s="11">
        <v>98.147000000000006</v>
      </c>
      <c r="I13" s="11">
        <v>1</v>
      </c>
      <c r="J13" s="11">
        <v>1.109</v>
      </c>
      <c r="K13" s="11">
        <v>0.05</v>
      </c>
      <c r="L13" s="11">
        <v>1.034</v>
      </c>
    </row>
    <row r="14" spans="1:12" x14ac:dyDescent="0.3">
      <c r="A14" s="2">
        <v>44575</v>
      </c>
      <c r="B14" s="11">
        <v>4662.8500000000004</v>
      </c>
      <c r="C14" s="11">
        <v>14893.75</v>
      </c>
      <c r="D14" s="11">
        <v>96.764300000000006</v>
      </c>
      <c r="E14" s="11">
        <v>2921.92</v>
      </c>
      <c r="F14" s="11">
        <v>971.39</v>
      </c>
      <c r="G14" s="11">
        <v>73.9786</v>
      </c>
      <c r="H14" s="11">
        <v>97.471699999999998</v>
      </c>
      <c r="I14" s="11">
        <v>1.25</v>
      </c>
      <c r="J14" s="11">
        <v>1.3560000000000001</v>
      </c>
      <c r="K14" s="11">
        <v>0.05</v>
      </c>
      <c r="L14" s="11">
        <v>1.2729999999999999</v>
      </c>
    </row>
    <row r="15" spans="1:12" x14ac:dyDescent="0.3">
      <c r="A15" s="2">
        <v>44578</v>
      </c>
      <c r="B15" s="11">
        <v>4662.8500000000004</v>
      </c>
      <c r="C15" s="11">
        <v>14893.75</v>
      </c>
      <c r="D15" s="11">
        <v>96.764300000000006</v>
      </c>
      <c r="E15" s="11">
        <v>2890.1</v>
      </c>
      <c r="F15" s="11">
        <v>957.9</v>
      </c>
      <c r="G15" s="11">
        <v>73.9786</v>
      </c>
      <c r="H15" s="11">
        <v>97.471699999999998</v>
      </c>
      <c r="I15" s="11">
        <v>1.25</v>
      </c>
      <c r="J15" s="11">
        <v>1.306</v>
      </c>
      <c r="K15" s="11">
        <v>0.05</v>
      </c>
      <c r="L15" s="11">
        <v>1.2509999999999999</v>
      </c>
    </row>
    <row r="16" spans="1:12" x14ac:dyDescent="0.3">
      <c r="A16" s="2">
        <v>44579</v>
      </c>
      <c r="B16" s="11">
        <v>4577.1099999999997</v>
      </c>
      <c r="C16" s="11">
        <v>14506.9</v>
      </c>
      <c r="D16" s="11">
        <v>95.087800000000001</v>
      </c>
      <c r="E16" s="11">
        <v>2864.24</v>
      </c>
      <c r="F16" s="11">
        <v>943.94</v>
      </c>
      <c r="G16" s="11">
        <v>73.865700000000004</v>
      </c>
      <c r="H16" s="11">
        <v>96.735699999999994</v>
      </c>
      <c r="I16" s="11">
        <v>1.25</v>
      </c>
      <c r="J16" s="11">
        <v>1.3560000000000001</v>
      </c>
      <c r="K16" s="11">
        <v>0.05</v>
      </c>
      <c r="L16" s="11">
        <v>1.2769999999999999</v>
      </c>
    </row>
    <row r="17" spans="1:12" x14ac:dyDescent="0.3">
      <c r="A17" s="2">
        <v>44580</v>
      </c>
      <c r="B17" s="11">
        <v>4532.76</v>
      </c>
      <c r="C17" s="11">
        <v>14340.25</v>
      </c>
      <c r="D17" s="11">
        <v>94.513499999999993</v>
      </c>
      <c r="E17" s="11">
        <v>2842.28</v>
      </c>
      <c r="F17" s="11">
        <v>933.9</v>
      </c>
      <c r="G17" s="11">
        <v>73.900499999999994</v>
      </c>
      <c r="H17" s="11">
        <v>96.969499999999996</v>
      </c>
      <c r="I17" s="11">
        <v>1.25</v>
      </c>
      <c r="J17" s="11">
        <v>1.387</v>
      </c>
      <c r="K17" s="11">
        <v>0.05</v>
      </c>
      <c r="L17" s="11">
        <v>1.276</v>
      </c>
    </row>
    <row r="18" spans="1:12" x14ac:dyDescent="0.3">
      <c r="A18" s="2">
        <v>44581</v>
      </c>
      <c r="B18" s="11">
        <v>4482.7299999999996</v>
      </c>
      <c r="C18" s="11">
        <v>14154.02</v>
      </c>
      <c r="D18" s="11">
        <v>93.772499999999994</v>
      </c>
      <c r="E18" s="11">
        <v>2862.68</v>
      </c>
      <c r="F18" s="11">
        <v>958.7</v>
      </c>
      <c r="G18" s="11">
        <v>73.883099999999999</v>
      </c>
      <c r="H18" s="11">
        <v>97.177300000000002</v>
      </c>
      <c r="I18" s="11">
        <v>1.25</v>
      </c>
      <c r="J18" s="11">
        <v>1.5069999999999999</v>
      </c>
      <c r="K18" s="11">
        <v>0.04</v>
      </c>
      <c r="L18" s="11">
        <v>1.33</v>
      </c>
    </row>
    <row r="19" spans="1:12" x14ac:dyDescent="0.3">
      <c r="A19" s="2">
        <v>44582</v>
      </c>
      <c r="B19" s="11">
        <v>4397.9399999999996</v>
      </c>
      <c r="C19" s="11">
        <v>13768.92</v>
      </c>
      <c r="D19" s="11">
        <v>92.179400000000001</v>
      </c>
      <c r="E19" s="11">
        <v>2834.29</v>
      </c>
      <c r="F19" s="11">
        <v>942.85</v>
      </c>
      <c r="G19" s="11">
        <v>73.943899999999999</v>
      </c>
      <c r="H19" s="11">
        <v>97.740099999999998</v>
      </c>
      <c r="I19" s="11">
        <v>1.25</v>
      </c>
      <c r="J19" s="11">
        <v>1.857</v>
      </c>
      <c r="K19" s="11">
        <v>0.05</v>
      </c>
      <c r="L19" s="11">
        <v>1.575</v>
      </c>
    </row>
    <row r="20" spans="1:12" x14ac:dyDescent="0.3">
      <c r="A20" s="2">
        <v>44585</v>
      </c>
      <c r="B20" s="11">
        <v>4410.13</v>
      </c>
      <c r="C20" s="11">
        <v>13855.13</v>
      </c>
      <c r="D20" s="11">
        <v>92.031199999999998</v>
      </c>
      <c r="E20" s="11">
        <v>2792</v>
      </c>
      <c r="F20" s="11">
        <v>915.4</v>
      </c>
      <c r="G20" s="11">
        <v>73.987300000000005</v>
      </c>
      <c r="H20" s="11">
        <v>97.653499999999994</v>
      </c>
      <c r="I20" s="11">
        <v>1.25</v>
      </c>
      <c r="J20" s="11">
        <v>1.3839999999999999</v>
      </c>
      <c r="K20" s="11">
        <v>0.04</v>
      </c>
      <c r="L20" s="11">
        <v>1.3520000000000001</v>
      </c>
    </row>
    <row r="21" spans="1:12" x14ac:dyDescent="0.3">
      <c r="A21" s="2">
        <v>44586</v>
      </c>
      <c r="B21" s="11">
        <v>4356.45</v>
      </c>
      <c r="C21" s="11">
        <v>13539.29</v>
      </c>
      <c r="D21" s="11">
        <v>91.104900000000001</v>
      </c>
      <c r="E21" s="11">
        <v>2720.39</v>
      </c>
      <c r="F21" s="11">
        <v>889.44</v>
      </c>
      <c r="G21" s="11">
        <v>73.952600000000004</v>
      </c>
      <c r="H21" s="11">
        <v>97.523600000000002</v>
      </c>
      <c r="I21" s="11">
        <v>1.25</v>
      </c>
      <c r="J21" s="11">
        <v>1.401</v>
      </c>
      <c r="K21" s="11">
        <v>0.05</v>
      </c>
      <c r="L21" s="11">
        <v>1.3140000000000001</v>
      </c>
    </row>
    <row r="22" spans="1:12" x14ac:dyDescent="0.3">
      <c r="A22" s="2">
        <v>44587</v>
      </c>
      <c r="B22" s="11">
        <v>4349.93</v>
      </c>
      <c r="C22" s="11">
        <v>13542.12</v>
      </c>
      <c r="D22" s="11">
        <v>90.6511</v>
      </c>
      <c r="E22" s="11">
        <v>2709.24</v>
      </c>
      <c r="F22" s="11">
        <v>882.09</v>
      </c>
      <c r="G22" s="11">
        <v>73.822299999999998</v>
      </c>
      <c r="H22" s="11">
        <v>96.831000000000003</v>
      </c>
      <c r="I22" s="11">
        <v>1.25</v>
      </c>
      <c r="J22" s="11">
        <v>1.33</v>
      </c>
      <c r="K22" s="11">
        <v>0.04</v>
      </c>
      <c r="L22" s="11">
        <v>1.2609999999999999</v>
      </c>
    </row>
    <row r="23" spans="1:12" x14ac:dyDescent="0.3">
      <c r="A23" s="2">
        <v>44588</v>
      </c>
      <c r="B23" s="11">
        <v>4326.51</v>
      </c>
      <c r="C23" s="11">
        <v>13352.78</v>
      </c>
      <c r="D23" s="11">
        <v>90.188000000000002</v>
      </c>
      <c r="E23" s="11">
        <v>2614.4899999999998</v>
      </c>
      <c r="F23" s="11">
        <v>849.23</v>
      </c>
      <c r="G23" s="11">
        <v>73.761499999999998</v>
      </c>
      <c r="H23" s="11">
        <v>97.237899999999996</v>
      </c>
      <c r="I23" s="11">
        <v>1.25</v>
      </c>
      <c r="J23" s="11">
        <v>1.2050000000000001</v>
      </c>
      <c r="K23" s="11">
        <v>0.04</v>
      </c>
      <c r="L23" s="11">
        <v>1.2010000000000001</v>
      </c>
    </row>
    <row r="24" spans="1:12" x14ac:dyDescent="0.3">
      <c r="A24" s="2">
        <v>44589</v>
      </c>
      <c r="B24" s="11">
        <v>4431.8500000000004</v>
      </c>
      <c r="C24" s="11">
        <v>13770.57</v>
      </c>
      <c r="D24" s="11">
        <v>91.632900000000006</v>
      </c>
      <c r="E24" s="11">
        <v>2663.34</v>
      </c>
      <c r="F24" s="11">
        <v>872.87</v>
      </c>
      <c r="G24" s="11">
        <v>73.787599999999998</v>
      </c>
      <c r="H24" s="11">
        <v>97.462999999999994</v>
      </c>
      <c r="I24" s="11">
        <v>1.25</v>
      </c>
      <c r="J24" s="11">
        <v>1.198</v>
      </c>
      <c r="K24" s="11">
        <v>0.05</v>
      </c>
      <c r="L24" s="11">
        <v>1.2769999999999999</v>
      </c>
    </row>
    <row r="25" spans="1:12" x14ac:dyDescent="0.3">
      <c r="A25" s="2">
        <v>44592</v>
      </c>
      <c r="B25" s="11">
        <v>4515.55</v>
      </c>
      <c r="C25" s="11">
        <v>14239.88</v>
      </c>
      <c r="D25" s="11">
        <v>93.522400000000005</v>
      </c>
      <c r="E25" s="11">
        <v>2663.34</v>
      </c>
      <c r="F25" s="11">
        <v>872.87</v>
      </c>
      <c r="G25" s="11">
        <v>73.787599999999998</v>
      </c>
      <c r="H25" s="11">
        <v>97.462999999999994</v>
      </c>
      <c r="I25" s="11">
        <v>1.25</v>
      </c>
      <c r="J25" s="11">
        <v>1.198</v>
      </c>
      <c r="K25" s="11">
        <v>0.05</v>
      </c>
      <c r="L25" s="11">
        <v>1.25</v>
      </c>
    </row>
    <row r="26" spans="1:12" x14ac:dyDescent="0.3">
      <c r="A26" s="2">
        <v>44593</v>
      </c>
      <c r="B26" s="11">
        <v>4546.54</v>
      </c>
      <c r="C26" s="11">
        <v>14346</v>
      </c>
      <c r="D26" s="11">
        <v>94.244900000000001</v>
      </c>
      <c r="E26" s="11">
        <v>2663.34</v>
      </c>
      <c r="F26" s="11">
        <v>872.87</v>
      </c>
      <c r="G26" s="11">
        <v>73.781700000000001</v>
      </c>
      <c r="H26" s="11">
        <v>97.331299999999999</v>
      </c>
      <c r="I26" s="11">
        <v>1.25</v>
      </c>
      <c r="J26" s="11">
        <v>1.198</v>
      </c>
      <c r="K26" s="11">
        <v>0.05</v>
      </c>
      <c r="L26" s="11">
        <v>1.25</v>
      </c>
    </row>
    <row r="27" spans="1:12" x14ac:dyDescent="0.3">
      <c r="A27" s="2">
        <v>44594</v>
      </c>
      <c r="B27" s="11">
        <v>4589.38</v>
      </c>
      <c r="C27" s="11">
        <v>14417.55</v>
      </c>
      <c r="D27" s="11">
        <v>94.846999999999994</v>
      </c>
      <c r="E27" s="11">
        <v>2663.34</v>
      </c>
      <c r="F27" s="11">
        <v>872.87</v>
      </c>
      <c r="G27" s="11">
        <v>73.799099999999996</v>
      </c>
      <c r="H27" s="11">
        <v>97.530699999999996</v>
      </c>
      <c r="I27" s="11">
        <v>1.25</v>
      </c>
      <c r="J27" s="11">
        <v>1.198</v>
      </c>
      <c r="K27" s="11">
        <v>0.05</v>
      </c>
      <c r="L27" s="11">
        <v>1.25</v>
      </c>
    </row>
    <row r="28" spans="1:12" x14ac:dyDescent="0.3">
      <c r="A28" s="2">
        <v>44595</v>
      </c>
      <c r="B28" s="11">
        <v>4477.4399999999996</v>
      </c>
      <c r="C28" s="11">
        <v>13878.82</v>
      </c>
      <c r="D28" s="11">
        <v>93.031499999999994</v>
      </c>
      <c r="E28" s="11">
        <v>2707.82</v>
      </c>
      <c r="F28" s="11">
        <v>891.6</v>
      </c>
      <c r="G28" s="11">
        <v>73.738299999999995</v>
      </c>
      <c r="H28" s="11">
        <v>97.114699999999999</v>
      </c>
      <c r="I28" s="11">
        <v>1.25</v>
      </c>
      <c r="J28" s="11">
        <v>1.1619999999999999</v>
      </c>
      <c r="K28" s="11">
        <v>0.05</v>
      </c>
      <c r="L28" s="11">
        <v>1.2230000000000001</v>
      </c>
    </row>
    <row r="29" spans="1:12" x14ac:dyDescent="0.3">
      <c r="A29" s="2">
        <v>44596</v>
      </c>
      <c r="B29" s="11">
        <v>4500.53</v>
      </c>
      <c r="C29" s="11">
        <v>14098.01</v>
      </c>
      <c r="D29" s="11">
        <v>93.448300000000003</v>
      </c>
      <c r="E29" s="11">
        <v>2750.26</v>
      </c>
      <c r="F29" s="11">
        <v>902.87</v>
      </c>
      <c r="G29" s="11">
        <v>73.590599999999995</v>
      </c>
      <c r="H29" s="11">
        <v>96.369399999999999</v>
      </c>
      <c r="I29" s="11">
        <v>1.25</v>
      </c>
      <c r="J29" s="11">
        <v>1.111</v>
      </c>
      <c r="K29" s="11">
        <v>0.05</v>
      </c>
      <c r="L29" s="11">
        <v>1.1759999999999999</v>
      </c>
    </row>
    <row r="30" spans="1:12" x14ac:dyDescent="0.3">
      <c r="A30" s="2">
        <v>44599</v>
      </c>
      <c r="B30" s="11">
        <v>4483.87</v>
      </c>
      <c r="C30" s="11">
        <v>14015.67</v>
      </c>
      <c r="D30" s="11">
        <v>93.263099999999994</v>
      </c>
      <c r="E30" s="11">
        <v>2745.06</v>
      </c>
      <c r="F30" s="11">
        <v>899.4</v>
      </c>
      <c r="G30" s="11">
        <v>73.607900000000001</v>
      </c>
      <c r="H30" s="11">
        <v>96.395399999999995</v>
      </c>
      <c r="I30" s="11">
        <v>1.25</v>
      </c>
      <c r="J30" s="11">
        <v>0.98699999999999999</v>
      </c>
      <c r="K30" s="11">
        <v>0.05</v>
      </c>
      <c r="L30" s="11">
        <v>1.1160000000000001</v>
      </c>
    </row>
    <row r="31" spans="1:12" x14ac:dyDescent="0.3">
      <c r="A31" s="2">
        <v>44600</v>
      </c>
      <c r="B31" s="11">
        <v>4521.54</v>
      </c>
      <c r="C31" s="11">
        <v>14194.46</v>
      </c>
      <c r="D31" s="11">
        <v>93.985600000000005</v>
      </c>
      <c r="E31" s="11">
        <v>2746.47</v>
      </c>
      <c r="F31" s="11">
        <v>895.27</v>
      </c>
      <c r="G31" s="11">
        <v>73.529799999999994</v>
      </c>
      <c r="H31" s="11">
        <v>96.083399999999997</v>
      </c>
      <c r="I31" s="11">
        <v>1.25</v>
      </c>
      <c r="J31" s="11">
        <v>1.0629999999999999</v>
      </c>
      <c r="K31" s="11">
        <v>0.05</v>
      </c>
      <c r="L31" s="11">
        <v>1.2170000000000001</v>
      </c>
    </row>
    <row r="32" spans="1:12" x14ac:dyDescent="0.3">
      <c r="A32" s="2">
        <v>44601</v>
      </c>
      <c r="B32" s="11">
        <v>4587.18</v>
      </c>
      <c r="C32" s="11">
        <v>14490.37</v>
      </c>
      <c r="D32" s="11">
        <v>95.467500000000001</v>
      </c>
      <c r="E32" s="11">
        <v>2768.85</v>
      </c>
      <c r="F32" s="11">
        <v>910.53</v>
      </c>
      <c r="G32" s="11">
        <v>73.521100000000004</v>
      </c>
      <c r="H32" s="11">
        <v>96.213399999999993</v>
      </c>
      <c r="I32" s="11">
        <v>1.25</v>
      </c>
      <c r="J32" s="11">
        <v>1.0620000000000001</v>
      </c>
      <c r="K32" s="11">
        <v>0.04</v>
      </c>
      <c r="L32" s="11">
        <v>1.226</v>
      </c>
    </row>
    <row r="33" spans="1:12" x14ac:dyDescent="0.3">
      <c r="A33" s="2">
        <v>44602</v>
      </c>
      <c r="B33" s="11">
        <v>4504.08</v>
      </c>
      <c r="C33" s="11">
        <v>14185.64</v>
      </c>
      <c r="D33" s="11">
        <v>94.087400000000002</v>
      </c>
      <c r="E33" s="11">
        <v>2771.93</v>
      </c>
      <c r="F33" s="11">
        <v>895.68</v>
      </c>
      <c r="G33" s="11">
        <v>73.147499999999994</v>
      </c>
      <c r="H33" s="11">
        <v>95.329400000000007</v>
      </c>
      <c r="I33" s="11">
        <v>1.25</v>
      </c>
      <c r="J33" s="11">
        <v>1.0980000000000001</v>
      </c>
      <c r="K33" s="11">
        <v>0.05</v>
      </c>
      <c r="L33" s="11">
        <v>1.18</v>
      </c>
    </row>
    <row r="34" spans="1:12" x14ac:dyDescent="0.3">
      <c r="A34" s="2">
        <v>44603</v>
      </c>
      <c r="B34" s="11">
        <v>4418.6400000000003</v>
      </c>
      <c r="C34" s="11">
        <v>13791.15</v>
      </c>
      <c r="D34" s="11">
        <v>92.299800000000005</v>
      </c>
      <c r="E34" s="11">
        <v>2747.71</v>
      </c>
      <c r="F34" s="11">
        <v>877.42</v>
      </c>
      <c r="G34" s="11">
        <v>73.373400000000004</v>
      </c>
      <c r="H34" s="11">
        <v>96.317400000000006</v>
      </c>
      <c r="I34" s="11">
        <v>1.25</v>
      </c>
      <c r="J34" s="11">
        <v>1.226</v>
      </c>
      <c r="K34" s="11">
        <v>0.05</v>
      </c>
      <c r="L34" s="11">
        <v>1.1930000000000001</v>
      </c>
    </row>
    <row r="35" spans="1:12" x14ac:dyDescent="0.3">
      <c r="A35" s="2">
        <v>44606</v>
      </c>
      <c r="B35" s="11">
        <v>4401.67</v>
      </c>
      <c r="C35" s="11">
        <v>13790.92</v>
      </c>
      <c r="D35" s="11">
        <v>91.957099999999997</v>
      </c>
      <c r="E35" s="11">
        <v>2704.48</v>
      </c>
      <c r="F35" s="11">
        <v>852.79</v>
      </c>
      <c r="G35" s="11">
        <v>73.216999999999999</v>
      </c>
      <c r="H35" s="11">
        <v>95.650099999999995</v>
      </c>
      <c r="I35" s="11">
        <v>1.25</v>
      </c>
      <c r="J35" s="11">
        <v>1.1919999999999999</v>
      </c>
      <c r="K35" s="11">
        <v>0.05</v>
      </c>
      <c r="L35" s="11">
        <v>1.254</v>
      </c>
    </row>
    <row r="36" spans="1:12" x14ac:dyDescent="0.3">
      <c r="A36" s="2">
        <v>44607</v>
      </c>
      <c r="B36" s="11">
        <v>4471.07</v>
      </c>
      <c r="C36" s="11">
        <v>14139.76</v>
      </c>
      <c r="D36" s="11">
        <v>93.568700000000007</v>
      </c>
      <c r="E36" s="11">
        <v>2676.54</v>
      </c>
      <c r="F36" s="11">
        <v>839.92</v>
      </c>
      <c r="G36" s="11">
        <v>73.242999999999995</v>
      </c>
      <c r="H36" s="11">
        <v>95.364099999999993</v>
      </c>
      <c r="I36" s="11">
        <v>1.25</v>
      </c>
      <c r="J36" s="11">
        <v>1.1910000000000001</v>
      </c>
      <c r="K36" s="11">
        <v>0.05</v>
      </c>
      <c r="L36" s="11">
        <v>1.198</v>
      </c>
    </row>
    <row r="37" spans="1:12" x14ac:dyDescent="0.3">
      <c r="A37" s="2">
        <v>44608</v>
      </c>
      <c r="B37" s="11">
        <v>4475.01</v>
      </c>
      <c r="C37" s="11">
        <v>14124.09</v>
      </c>
      <c r="D37" s="11">
        <v>93.781800000000004</v>
      </c>
      <c r="E37" s="11">
        <v>2729.68</v>
      </c>
      <c r="F37" s="11">
        <v>878.15</v>
      </c>
      <c r="G37" s="11">
        <v>73.3386</v>
      </c>
      <c r="H37" s="11">
        <v>95.563400000000001</v>
      </c>
      <c r="I37" s="11">
        <v>1.25</v>
      </c>
      <c r="J37" s="11">
        <v>1.1259999999999999</v>
      </c>
      <c r="K37" s="11">
        <v>0.05</v>
      </c>
      <c r="L37" s="11">
        <v>1.198</v>
      </c>
    </row>
    <row r="38" spans="1:12" x14ac:dyDescent="0.3">
      <c r="A38" s="2">
        <v>44609</v>
      </c>
      <c r="B38" s="11">
        <v>4380.26</v>
      </c>
      <c r="C38" s="11">
        <v>13716.72</v>
      </c>
      <c r="D38" s="11">
        <v>91.966399999999993</v>
      </c>
      <c r="E38" s="11">
        <v>2744.09</v>
      </c>
      <c r="F38" s="11">
        <v>874.22</v>
      </c>
      <c r="G38" s="11">
        <v>73.382000000000005</v>
      </c>
      <c r="H38" s="11">
        <v>96.074700000000007</v>
      </c>
      <c r="I38" s="11">
        <v>1.25</v>
      </c>
      <c r="J38" s="11">
        <v>1.127</v>
      </c>
      <c r="K38" s="11">
        <v>0.05</v>
      </c>
      <c r="L38" s="11">
        <v>1.2290000000000001</v>
      </c>
    </row>
    <row r="39" spans="1:12" x14ac:dyDescent="0.3">
      <c r="A39" s="2">
        <v>44610</v>
      </c>
      <c r="B39" s="11">
        <v>4348.87</v>
      </c>
      <c r="C39" s="11">
        <v>13548.07</v>
      </c>
      <c r="D39" s="11">
        <v>91.280900000000003</v>
      </c>
      <c r="E39" s="11">
        <v>2744.52</v>
      </c>
      <c r="F39" s="11">
        <v>881.71</v>
      </c>
      <c r="G39" s="11">
        <v>73.390699999999995</v>
      </c>
      <c r="H39" s="11">
        <v>96.386700000000005</v>
      </c>
      <c r="I39" s="11">
        <v>1.25</v>
      </c>
      <c r="J39" s="11">
        <v>1.1359999999999999</v>
      </c>
      <c r="K39" s="11">
        <v>0.05</v>
      </c>
      <c r="L39" s="11">
        <v>1.2390000000000001</v>
      </c>
    </row>
    <row r="40" spans="1:12" x14ac:dyDescent="0.3">
      <c r="A40" s="2">
        <v>44613</v>
      </c>
      <c r="B40" s="11">
        <v>4348.87</v>
      </c>
      <c r="C40" s="11">
        <v>13548.07</v>
      </c>
      <c r="D40" s="11">
        <v>91.280900000000003</v>
      </c>
      <c r="E40" s="11">
        <v>2743.8</v>
      </c>
      <c r="F40" s="11">
        <v>884.25</v>
      </c>
      <c r="G40" s="11">
        <v>73.390699999999995</v>
      </c>
      <c r="H40" s="11">
        <v>96.386700000000005</v>
      </c>
      <c r="I40" s="11">
        <v>1.25</v>
      </c>
      <c r="J40" s="11">
        <v>1.2230000000000001</v>
      </c>
      <c r="K40" s="11">
        <v>0.05</v>
      </c>
      <c r="L40" s="11">
        <v>1.2430000000000001</v>
      </c>
    </row>
    <row r="41" spans="1:12" x14ac:dyDescent="0.3">
      <c r="A41" s="2">
        <v>44614</v>
      </c>
      <c r="B41" s="11">
        <v>4304.76</v>
      </c>
      <c r="C41" s="11">
        <v>13381.52</v>
      </c>
      <c r="D41" s="11">
        <v>90.224999999999994</v>
      </c>
      <c r="E41" s="11">
        <v>2706.79</v>
      </c>
      <c r="F41" s="11">
        <v>868.11</v>
      </c>
      <c r="G41" s="11">
        <v>73.321200000000005</v>
      </c>
      <c r="H41" s="11">
        <v>96.378</v>
      </c>
      <c r="I41" s="11">
        <v>1.25</v>
      </c>
      <c r="J41" s="11">
        <v>1.2669999999999999</v>
      </c>
      <c r="K41" s="11">
        <v>0.05</v>
      </c>
      <c r="L41" s="11">
        <v>1.2569999999999999</v>
      </c>
    </row>
    <row r="42" spans="1:12" x14ac:dyDescent="0.3">
      <c r="A42" s="2">
        <v>44615</v>
      </c>
      <c r="B42" s="11">
        <v>4225.5</v>
      </c>
      <c r="C42" s="11">
        <v>13037.49</v>
      </c>
      <c r="D42" s="11">
        <v>88.946799999999996</v>
      </c>
      <c r="E42" s="11">
        <v>2719.53</v>
      </c>
      <c r="F42" s="11">
        <v>877.33</v>
      </c>
      <c r="G42" s="11">
        <v>73.277799999999999</v>
      </c>
      <c r="H42" s="11">
        <v>95.875399999999999</v>
      </c>
      <c r="I42" s="11">
        <v>1.25</v>
      </c>
      <c r="J42" s="11">
        <v>1.2689999999999999</v>
      </c>
      <c r="K42" s="11">
        <v>0.05</v>
      </c>
      <c r="L42" s="11">
        <v>1.2430000000000001</v>
      </c>
    </row>
    <row r="43" spans="1:12" x14ac:dyDescent="0.3">
      <c r="A43" s="2">
        <v>44616</v>
      </c>
      <c r="B43" s="11">
        <v>4288.7</v>
      </c>
      <c r="C43" s="11">
        <v>13473.58</v>
      </c>
      <c r="D43" s="11">
        <v>89.317300000000003</v>
      </c>
      <c r="E43" s="11">
        <v>2648.8</v>
      </c>
      <c r="F43" s="11">
        <v>848.21</v>
      </c>
      <c r="G43" s="11">
        <v>73.3386</v>
      </c>
      <c r="H43" s="11">
        <v>96.100700000000003</v>
      </c>
      <c r="I43" s="11">
        <v>1.25</v>
      </c>
      <c r="J43" s="11">
        <v>1.2969999999999999</v>
      </c>
      <c r="K43" s="11">
        <v>0.05</v>
      </c>
      <c r="L43" s="11">
        <v>1.258</v>
      </c>
    </row>
    <row r="44" spans="1:12" x14ac:dyDescent="0.3">
      <c r="A44" s="2">
        <v>44617</v>
      </c>
      <c r="B44" s="11">
        <v>4384.6499999999996</v>
      </c>
      <c r="C44" s="11">
        <v>13694.62</v>
      </c>
      <c r="D44" s="11">
        <v>91.299499999999995</v>
      </c>
      <c r="E44" s="11">
        <v>2676.76</v>
      </c>
      <c r="F44" s="11">
        <v>872.98</v>
      </c>
      <c r="G44" s="11">
        <v>73.3386</v>
      </c>
      <c r="H44" s="11">
        <v>96.074700000000007</v>
      </c>
      <c r="I44" s="11">
        <v>1.25</v>
      </c>
      <c r="J44" s="11">
        <v>1.3360000000000001</v>
      </c>
      <c r="K44" s="11">
        <v>0.05</v>
      </c>
      <c r="L44" s="11">
        <v>1.284</v>
      </c>
    </row>
    <row r="45" spans="1:12" x14ac:dyDescent="0.3">
      <c r="A45" s="2">
        <v>44620</v>
      </c>
      <c r="B45" s="11">
        <v>4373.9399999999996</v>
      </c>
      <c r="C45" s="11">
        <v>13751.4</v>
      </c>
      <c r="D45" s="11">
        <v>90.660399999999996</v>
      </c>
      <c r="E45" s="11">
        <v>2699.18</v>
      </c>
      <c r="F45" s="11">
        <v>881.07</v>
      </c>
      <c r="G45" s="11">
        <v>73.468900000000005</v>
      </c>
      <c r="H45" s="11">
        <v>97.166700000000006</v>
      </c>
      <c r="I45" s="11">
        <v>1.25</v>
      </c>
      <c r="J45" s="11">
        <v>1.512</v>
      </c>
      <c r="K45" s="11">
        <v>0.05</v>
      </c>
      <c r="L45" s="11">
        <v>1.39</v>
      </c>
    </row>
    <row r="46" spans="1:12" x14ac:dyDescent="0.3">
      <c r="A46" s="2">
        <v>44621</v>
      </c>
      <c r="B46" s="11">
        <v>4306.26</v>
      </c>
      <c r="C46" s="11">
        <v>13532.46</v>
      </c>
      <c r="D46" s="11">
        <v>89.122799999999998</v>
      </c>
      <c r="E46" s="11">
        <v>2699.18</v>
      </c>
      <c r="F46" s="11">
        <v>881.07</v>
      </c>
      <c r="G46" s="11">
        <v>73.6387</v>
      </c>
      <c r="H46" s="11">
        <v>98.113</v>
      </c>
      <c r="I46" s="11">
        <v>1.25</v>
      </c>
      <c r="J46" s="11">
        <v>1.512</v>
      </c>
      <c r="K46" s="11">
        <v>0.05</v>
      </c>
      <c r="L46" s="11">
        <v>1.25</v>
      </c>
    </row>
    <row r="47" spans="1:12" x14ac:dyDescent="0.3">
      <c r="A47" s="2">
        <v>44622</v>
      </c>
      <c r="B47" s="11">
        <v>4386.54</v>
      </c>
      <c r="C47" s="11">
        <v>13752.02</v>
      </c>
      <c r="D47" s="11">
        <v>90.400999999999996</v>
      </c>
      <c r="E47" s="11">
        <v>2703.52</v>
      </c>
      <c r="F47" s="11">
        <v>895.45</v>
      </c>
      <c r="G47" s="11">
        <v>73.395399999999995</v>
      </c>
      <c r="H47" s="11">
        <v>96.638400000000004</v>
      </c>
      <c r="I47" s="11">
        <v>1.25</v>
      </c>
      <c r="J47" s="11">
        <v>1.401</v>
      </c>
      <c r="K47" s="11">
        <v>0.05</v>
      </c>
      <c r="L47" s="11">
        <v>1.2889999999999999</v>
      </c>
    </row>
    <row r="48" spans="1:12" x14ac:dyDescent="0.3">
      <c r="A48" s="2">
        <v>44623</v>
      </c>
      <c r="B48" s="11">
        <v>4363.49</v>
      </c>
      <c r="C48" s="11">
        <v>13537.94</v>
      </c>
      <c r="D48" s="11">
        <v>89.483999999999995</v>
      </c>
      <c r="E48" s="11">
        <v>2747.08</v>
      </c>
      <c r="F48" s="11">
        <v>912.32</v>
      </c>
      <c r="G48" s="11">
        <v>73.395399999999995</v>
      </c>
      <c r="H48" s="11">
        <v>97.0548</v>
      </c>
      <c r="I48" s="11">
        <v>1.25</v>
      </c>
      <c r="J48" s="11">
        <v>1.2509999999999999</v>
      </c>
      <c r="K48" s="11">
        <v>0.05</v>
      </c>
      <c r="L48" s="11">
        <v>1.2490000000000001</v>
      </c>
    </row>
    <row r="49" spans="1:12" x14ac:dyDescent="0.3">
      <c r="A49" s="2">
        <v>44624</v>
      </c>
      <c r="B49" s="11">
        <v>4328.87</v>
      </c>
      <c r="C49" s="11">
        <v>13313.44</v>
      </c>
      <c r="D49" s="11">
        <v>88.159499999999994</v>
      </c>
      <c r="E49" s="11">
        <v>2713.43</v>
      </c>
      <c r="F49" s="11">
        <v>900.96</v>
      </c>
      <c r="G49" s="11">
        <v>73.473600000000005</v>
      </c>
      <c r="H49" s="11">
        <v>98.017600000000002</v>
      </c>
      <c r="I49" s="11">
        <v>1.25</v>
      </c>
      <c r="J49" s="11">
        <v>1.0529999999999999</v>
      </c>
      <c r="K49" s="11">
        <v>0.05</v>
      </c>
      <c r="L49" s="11">
        <v>1.1910000000000001</v>
      </c>
    </row>
    <row r="50" spans="1:12" x14ac:dyDescent="0.3">
      <c r="A50" s="2">
        <v>44627</v>
      </c>
      <c r="B50" s="11">
        <v>4201.09</v>
      </c>
      <c r="C50" s="11">
        <v>12830.96</v>
      </c>
      <c r="D50" s="11">
        <v>85.4178</v>
      </c>
      <c r="E50" s="11">
        <v>2651.31</v>
      </c>
      <c r="F50" s="11">
        <v>881.54</v>
      </c>
      <c r="G50" s="11">
        <v>73.378</v>
      </c>
      <c r="H50" s="11">
        <v>97.601299999999995</v>
      </c>
      <c r="I50" s="11">
        <v>1.25</v>
      </c>
      <c r="J50" s="11">
        <v>1.3240000000000001</v>
      </c>
      <c r="K50" s="11">
        <v>0.05</v>
      </c>
      <c r="L50" s="11">
        <v>1.228</v>
      </c>
    </row>
    <row r="51" spans="1:12" x14ac:dyDescent="0.3">
      <c r="A51" s="2">
        <v>44628</v>
      </c>
      <c r="B51" s="11">
        <v>4170.7</v>
      </c>
      <c r="C51" s="11">
        <v>12795.55</v>
      </c>
      <c r="D51" s="11">
        <v>85.316000000000003</v>
      </c>
      <c r="E51" s="11">
        <v>2622.4</v>
      </c>
      <c r="F51" s="11">
        <v>870.14</v>
      </c>
      <c r="G51" s="11">
        <v>73.282399999999996</v>
      </c>
      <c r="H51" s="11">
        <v>96.968000000000004</v>
      </c>
      <c r="I51" s="11">
        <v>1.25</v>
      </c>
      <c r="J51" s="11">
        <v>1.323</v>
      </c>
      <c r="K51" s="11">
        <v>0.05</v>
      </c>
      <c r="L51" s="11">
        <v>1.24</v>
      </c>
    </row>
    <row r="52" spans="1:12" x14ac:dyDescent="0.3">
      <c r="A52" s="2">
        <v>44629</v>
      </c>
      <c r="B52" s="11">
        <v>4277.88</v>
      </c>
      <c r="C52" s="11">
        <v>13255.55</v>
      </c>
      <c r="D52" s="11">
        <v>87.900199999999998</v>
      </c>
      <c r="E52" s="11">
        <v>2622.4</v>
      </c>
      <c r="F52" s="11">
        <v>870.14</v>
      </c>
      <c r="G52" s="11">
        <v>73.238900000000001</v>
      </c>
      <c r="H52" s="11">
        <v>96.369500000000002</v>
      </c>
      <c r="I52" s="11">
        <v>1.25</v>
      </c>
      <c r="J52" s="11">
        <v>1.323</v>
      </c>
      <c r="K52" s="11">
        <v>0.05</v>
      </c>
      <c r="L52" s="11">
        <v>1.25</v>
      </c>
    </row>
    <row r="53" spans="1:12" x14ac:dyDescent="0.3">
      <c r="A53" s="2">
        <v>44630</v>
      </c>
      <c r="B53" s="11">
        <v>4259.5200000000004</v>
      </c>
      <c r="C53" s="11">
        <v>13129.96</v>
      </c>
      <c r="D53" s="11">
        <v>87.205500000000001</v>
      </c>
      <c r="E53" s="11">
        <v>2680.32</v>
      </c>
      <c r="F53" s="11">
        <v>889.08</v>
      </c>
      <c r="G53" s="11">
        <v>73.178100000000001</v>
      </c>
      <c r="H53" s="11">
        <v>95.927199999999999</v>
      </c>
      <c r="I53" s="11">
        <v>1.25</v>
      </c>
      <c r="J53" s="11">
        <v>1.33</v>
      </c>
      <c r="K53" s="11">
        <v>0.05</v>
      </c>
      <c r="L53" s="11">
        <v>1.3140000000000001</v>
      </c>
    </row>
    <row r="54" spans="1:12" x14ac:dyDescent="0.3">
      <c r="A54" s="2">
        <v>44631</v>
      </c>
      <c r="B54" s="11">
        <v>4204.3100000000004</v>
      </c>
      <c r="C54" s="11">
        <v>12843.81</v>
      </c>
      <c r="D54" s="11">
        <v>86.001400000000004</v>
      </c>
      <c r="E54" s="11">
        <v>2661.28</v>
      </c>
      <c r="F54" s="11">
        <v>891.71</v>
      </c>
      <c r="G54" s="11">
        <v>73.152000000000001</v>
      </c>
      <c r="H54" s="11">
        <v>95.9011</v>
      </c>
      <c r="I54" s="11">
        <v>1.25</v>
      </c>
      <c r="J54" s="11">
        <v>1.361</v>
      </c>
      <c r="K54" s="11">
        <v>0.05</v>
      </c>
      <c r="L54" s="11">
        <v>1.3180000000000001</v>
      </c>
    </row>
    <row r="55" spans="1:12" x14ac:dyDescent="0.3">
      <c r="A55" s="2">
        <v>44634</v>
      </c>
      <c r="B55" s="11">
        <v>4173.1099999999997</v>
      </c>
      <c r="C55" s="11">
        <v>12581.22</v>
      </c>
      <c r="D55" s="11">
        <v>85.445599999999999</v>
      </c>
      <c r="E55" s="11">
        <v>2645.65</v>
      </c>
      <c r="F55" s="11">
        <v>872.44</v>
      </c>
      <c r="G55" s="11">
        <v>72.960800000000006</v>
      </c>
      <c r="H55" s="11">
        <v>94.686800000000005</v>
      </c>
      <c r="I55" s="11">
        <v>1.25</v>
      </c>
      <c r="J55" s="11">
        <v>1.3080000000000001</v>
      </c>
      <c r="K55" s="11">
        <v>0.05</v>
      </c>
      <c r="L55" s="11">
        <v>1.268</v>
      </c>
    </row>
    <row r="56" spans="1:12" x14ac:dyDescent="0.3">
      <c r="A56" s="2">
        <v>44635</v>
      </c>
      <c r="B56" s="11">
        <v>4262.45</v>
      </c>
      <c r="C56" s="11">
        <v>12948.62</v>
      </c>
      <c r="D56" s="11">
        <v>86.779399999999995</v>
      </c>
      <c r="E56" s="11">
        <v>2621.53</v>
      </c>
      <c r="F56" s="11">
        <v>871.22</v>
      </c>
      <c r="G56" s="11">
        <v>72.986900000000006</v>
      </c>
      <c r="H56" s="11">
        <v>94.6434</v>
      </c>
      <c r="I56" s="11">
        <v>1.25</v>
      </c>
      <c r="J56" s="11">
        <v>1.2849999999999999</v>
      </c>
      <c r="K56" s="11">
        <v>0.05</v>
      </c>
      <c r="L56" s="11">
        <v>1.2430000000000001</v>
      </c>
    </row>
    <row r="57" spans="1:12" x14ac:dyDescent="0.3">
      <c r="A57" s="2">
        <v>44636</v>
      </c>
      <c r="B57" s="11">
        <v>4357.8599999999997</v>
      </c>
      <c r="C57" s="11">
        <v>13436.55</v>
      </c>
      <c r="D57" s="11">
        <v>89.715599999999995</v>
      </c>
      <c r="E57" s="11">
        <v>2659.23</v>
      </c>
      <c r="F57" s="11">
        <v>891.8</v>
      </c>
      <c r="G57" s="11">
        <v>72.917400000000001</v>
      </c>
      <c r="H57" s="11">
        <v>94.513300000000001</v>
      </c>
      <c r="I57" s="11">
        <v>1.25</v>
      </c>
      <c r="J57" s="11">
        <v>1.2829999999999999</v>
      </c>
      <c r="K57" s="11">
        <v>0.05</v>
      </c>
      <c r="L57" s="11">
        <v>1.2450000000000001</v>
      </c>
    </row>
    <row r="58" spans="1:12" x14ac:dyDescent="0.3">
      <c r="A58" s="2">
        <v>44637</v>
      </c>
      <c r="B58" s="11">
        <v>4411.67</v>
      </c>
      <c r="C58" s="11">
        <v>13614.78</v>
      </c>
      <c r="D58" s="11">
        <v>90.632599999999996</v>
      </c>
      <c r="E58" s="11">
        <v>2694.51</v>
      </c>
      <c r="F58" s="11">
        <v>914.13</v>
      </c>
      <c r="G58" s="11">
        <v>72.891300000000001</v>
      </c>
      <c r="H58" s="11">
        <v>94.331100000000006</v>
      </c>
      <c r="I58" s="11">
        <v>1.25</v>
      </c>
      <c r="J58" s="11">
        <v>1.2070000000000001</v>
      </c>
      <c r="K58" s="11">
        <v>0.3</v>
      </c>
      <c r="L58" s="11">
        <v>1.242</v>
      </c>
    </row>
    <row r="59" spans="1:12" x14ac:dyDescent="0.3">
      <c r="A59" s="2">
        <v>44638</v>
      </c>
      <c r="B59" s="11">
        <v>4463.12</v>
      </c>
      <c r="C59" s="11">
        <v>13893.84</v>
      </c>
      <c r="D59" s="11">
        <v>91.632900000000006</v>
      </c>
      <c r="E59" s="11">
        <v>2707.02</v>
      </c>
      <c r="F59" s="11">
        <v>922.96</v>
      </c>
      <c r="G59" s="11">
        <v>72.873900000000006</v>
      </c>
      <c r="H59" s="11">
        <v>94.608699999999999</v>
      </c>
      <c r="I59" s="11">
        <v>1.25</v>
      </c>
      <c r="J59" s="11">
        <v>1.2809999999999999</v>
      </c>
      <c r="K59" s="11">
        <v>0.3</v>
      </c>
      <c r="L59" s="11">
        <v>1.2390000000000001</v>
      </c>
    </row>
    <row r="60" spans="1:12" x14ac:dyDescent="0.3">
      <c r="A60" s="2">
        <v>44641</v>
      </c>
      <c r="B60" s="11">
        <v>4461.18</v>
      </c>
      <c r="C60" s="11">
        <v>13838.46</v>
      </c>
      <c r="D60" s="11">
        <v>91.308700000000002</v>
      </c>
      <c r="E60" s="11">
        <v>2686.05</v>
      </c>
      <c r="F60" s="11">
        <v>918.4</v>
      </c>
      <c r="G60" s="11">
        <v>72.630600000000001</v>
      </c>
      <c r="H60" s="11">
        <v>93.376999999999995</v>
      </c>
      <c r="I60" s="11">
        <v>1.25</v>
      </c>
      <c r="J60" s="11">
        <v>1.282</v>
      </c>
      <c r="K60" s="11">
        <v>0.28999999999999998</v>
      </c>
      <c r="L60" s="11">
        <v>1.2150000000000001</v>
      </c>
    </row>
    <row r="61" spans="1:12" x14ac:dyDescent="0.3">
      <c r="A61" s="2">
        <v>44642</v>
      </c>
      <c r="B61" s="11">
        <v>4511.6099999999997</v>
      </c>
      <c r="C61" s="11">
        <v>14108.82</v>
      </c>
      <c r="D61" s="11">
        <v>92.410899999999998</v>
      </c>
      <c r="E61" s="11">
        <v>2710</v>
      </c>
      <c r="F61" s="11">
        <v>924.67</v>
      </c>
      <c r="G61" s="11">
        <v>72.578400000000002</v>
      </c>
      <c r="H61" s="11">
        <v>92.865200000000002</v>
      </c>
      <c r="I61" s="11">
        <v>1.25</v>
      </c>
      <c r="J61" s="11">
        <v>1.2569999999999999</v>
      </c>
      <c r="K61" s="11">
        <v>0.28000000000000003</v>
      </c>
      <c r="L61" s="11">
        <v>1.2130000000000001</v>
      </c>
    </row>
    <row r="62" spans="1:12" x14ac:dyDescent="0.3">
      <c r="A62" s="2">
        <v>44643</v>
      </c>
      <c r="B62" s="11">
        <v>4456.24</v>
      </c>
      <c r="C62" s="11">
        <v>13922.6</v>
      </c>
      <c r="D62" s="11">
        <v>91.373599999999996</v>
      </c>
      <c r="E62" s="11">
        <v>2735.05</v>
      </c>
      <c r="F62" s="11">
        <v>930.57</v>
      </c>
      <c r="G62" s="11">
        <v>72.639300000000006</v>
      </c>
      <c r="H62" s="11">
        <v>93.489699999999999</v>
      </c>
      <c r="I62" s="11">
        <v>1.25</v>
      </c>
      <c r="J62" s="11">
        <v>1.222</v>
      </c>
      <c r="K62" s="11">
        <v>0.27</v>
      </c>
      <c r="L62" s="11">
        <v>1.127</v>
      </c>
    </row>
    <row r="63" spans="1:12" x14ac:dyDescent="0.3">
      <c r="A63" s="2">
        <v>44644</v>
      </c>
      <c r="B63" s="11">
        <v>4520.16</v>
      </c>
      <c r="C63" s="11">
        <v>14191.84</v>
      </c>
      <c r="D63" s="11">
        <v>92.429500000000004</v>
      </c>
      <c r="E63" s="11">
        <v>2729.66</v>
      </c>
      <c r="F63" s="11">
        <v>931.75</v>
      </c>
      <c r="G63" s="11">
        <v>72.617500000000007</v>
      </c>
      <c r="H63" s="11">
        <v>92.969300000000004</v>
      </c>
      <c r="I63" s="11">
        <v>1.25</v>
      </c>
      <c r="J63" s="11">
        <v>1.1870000000000001</v>
      </c>
      <c r="K63" s="11">
        <v>0.27</v>
      </c>
      <c r="L63" s="11">
        <v>1.1890000000000001</v>
      </c>
    </row>
    <row r="64" spans="1:12" x14ac:dyDescent="0.3">
      <c r="A64" s="2">
        <v>44645</v>
      </c>
      <c r="B64" s="11">
        <v>4543.0600000000004</v>
      </c>
      <c r="C64" s="11">
        <v>14169.3</v>
      </c>
      <c r="D64" s="11">
        <v>92.605500000000006</v>
      </c>
      <c r="E64" s="11">
        <v>2729.98</v>
      </c>
      <c r="F64" s="11">
        <v>934.69</v>
      </c>
      <c r="G64" s="11">
        <v>72.421999999999997</v>
      </c>
      <c r="H64" s="11">
        <v>92.015100000000004</v>
      </c>
      <c r="I64" s="11">
        <v>1.25</v>
      </c>
      <c r="J64" s="11">
        <v>1.19</v>
      </c>
      <c r="K64" s="11">
        <v>0.28000000000000003</v>
      </c>
      <c r="L64" s="11">
        <v>1.2450000000000001</v>
      </c>
    </row>
    <row r="65" spans="1:12" x14ac:dyDescent="0.3">
      <c r="A65" s="2">
        <v>44648</v>
      </c>
      <c r="B65" s="11">
        <v>4575.5200000000004</v>
      </c>
      <c r="C65" s="11">
        <v>14354.9</v>
      </c>
      <c r="D65" s="11">
        <v>92.966700000000003</v>
      </c>
      <c r="E65" s="11">
        <v>2729.56</v>
      </c>
      <c r="F65" s="11">
        <v>927.11</v>
      </c>
      <c r="G65" s="11">
        <v>72.352500000000006</v>
      </c>
      <c r="H65" s="11">
        <v>92.223299999999995</v>
      </c>
      <c r="I65" s="11">
        <v>1.25</v>
      </c>
      <c r="J65" s="11">
        <v>1.1890000000000001</v>
      </c>
      <c r="K65" s="11">
        <v>0.28000000000000003</v>
      </c>
      <c r="L65" s="11">
        <v>1.204</v>
      </c>
    </row>
    <row r="66" spans="1:12" x14ac:dyDescent="0.3">
      <c r="A66" s="2">
        <v>44649</v>
      </c>
      <c r="B66" s="11">
        <v>4631.6000000000004</v>
      </c>
      <c r="C66" s="11">
        <v>14619.64</v>
      </c>
      <c r="D66" s="11">
        <v>94.457899999999995</v>
      </c>
      <c r="E66" s="11">
        <v>2741.07</v>
      </c>
      <c r="F66" s="11">
        <v>937.83</v>
      </c>
      <c r="G66" s="11">
        <v>72.387200000000007</v>
      </c>
      <c r="H66" s="11">
        <v>92.683000000000007</v>
      </c>
      <c r="I66" s="11">
        <v>1.25</v>
      </c>
      <c r="J66" s="11">
        <v>1.163</v>
      </c>
      <c r="K66" s="11">
        <v>0.28000000000000003</v>
      </c>
      <c r="L66" s="11">
        <v>1.218</v>
      </c>
    </row>
    <row r="67" spans="1:12" x14ac:dyDescent="0.3">
      <c r="A67" s="2">
        <v>44650</v>
      </c>
      <c r="B67" s="11">
        <v>4602.45</v>
      </c>
      <c r="C67" s="11">
        <v>14442.27</v>
      </c>
      <c r="D67" s="11">
        <v>93.93</v>
      </c>
      <c r="E67" s="11">
        <v>2746.74</v>
      </c>
      <c r="F67" s="11">
        <v>939.07</v>
      </c>
      <c r="G67" s="11">
        <v>72.439400000000006</v>
      </c>
      <c r="H67" s="11">
        <v>93.047300000000007</v>
      </c>
      <c r="I67" s="11">
        <v>1.25</v>
      </c>
      <c r="J67" s="11">
        <v>1.1240000000000001</v>
      </c>
      <c r="K67" s="11">
        <v>0.27</v>
      </c>
      <c r="L67" s="11">
        <v>1.2290000000000001</v>
      </c>
    </row>
    <row r="68" spans="1:12" x14ac:dyDescent="0.3">
      <c r="A68" s="2">
        <v>44651</v>
      </c>
      <c r="B68" s="11">
        <v>4530.41</v>
      </c>
      <c r="C68" s="11">
        <v>14220.52</v>
      </c>
      <c r="D68" s="11">
        <v>92.420199999999994</v>
      </c>
      <c r="E68" s="11">
        <v>2757.65</v>
      </c>
      <c r="F68" s="11">
        <v>944.53</v>
      </c>
      <c r="G68" s="11">
        <v>72.439400000000006</v>
      </c>
      <c r="H68" s="11">
        <v>93.220799999999997</v>
      </c>
      <c r="I68" s="11">
        <v>1.25</v>
      </c>
      <c r="J68" s="11">
        <v>1.411</v>
      </c>
      <c r="K68" s="11">
        <v>0.28999999999999998</v>
      </c>
      <c r="L68" s="11">
        <v>1.454</v>
      </c>
    </row>
    <row r="69" spans="1:12" x14ac:dyDescent="0.3">
      <c r="A69" s="2">
        <v>44652</v>
      </c>
      <c r="B69" s="11">
        <v>4545.8599999999997</v>
      </c>
      <c r="C69" s="11">
        <v>14261.5</v>
      </c>
      <c r="D69" s="11">
        <v>93.022300000000001</v>
      </c>
      <c r="E69" s="11">
        <v>2739.85</v>
      </c>
      <c r="F69" s="11">
        <v>940.57</v>
      </c>
      <c r="G69" s="11">
        <v>72.288399999999996</v>
      </c>
      <c r="H69" s="11">
        <v>92.614199999999997</v>
      </c>
      <c r="I69" s="11">
        <v>1.25</v>
      </c>
      <c r="J69" s="11">
        <v>1.127</v>
      </c>
      <c r="K69" s="11">
        <v>0.3</v>
      </c>
      <c r="L69" s="11">
        <v>1.238</v>
      </c>
    </row>
    <row r="70" spans="1:12" x14ac:dyDescent="0.3">
      <c r="A70" s="2">
        <v>44655</v>
      </c>
      <c r="B70" s="11">
        <v>4582.6400000000003</v>
      </c>
      <c r="C70" s="11">
        <v>14532.55</v>
      </c>
      <c r="D70" s="11">
        <v>93.920699999999997</v>
      </c>
      <c r="E70" s="11">
        <v>2757.9</v>
      </c>
      <c r="F70" s="11">
        <v>947.32</v>
      </c>
      <c r="G70" s="11">
        <v>72.331900000000005</v>
      </c>
      <c r="H70" s="11">
        <v>92.553399999999996</v>
      </c>
      <c r="I70" s="11">
        <v>1.25</v>
      </c>
      <c r="J70" s="11">
        <v>1.1479999999999999</v>
      </c>
      <c r="K70" s="11">
        <v>0.3</v>
      </c>
      <c r="L70" s="11">
        <v>1.25</v>
      </c>
    </row>
    <row r="71" spans="1:12" x14ac:dyDescent="0.3">
      <c r="A71" s="2">
        <v>44656</v>
      </c>
      <c r="B71" s="11">
        <v>4525.12</v>
      </c>
      <c r="C71" s="11">
        <v>14204.17</v>
      </c>
      <c r="D71" s="11">
        <v>92.577699999999993</v>
      </c>
      <c r="E71" s="11">
        <v>2759.2</v>
      </c>
      <c r="F71" s="11">
        <v>952.47</v>
      </c>
      <c r="G71" s="11">
        <v>72.201400000000007</v>
      </c>
      <c r="H71" s="11">
        <v>91.450599999999994</v>
      </c>
      <c r="I71" s="11">
        <v>1.25</v>
      </c>
      <c r="J71" s="11">
        <v>1.268</v>
      </c>
      <c r="K71" s="11">
        <v>0.3</v>
      </c>
      <c r="L71" s="11">
        <v>1.28</v>
      </c>
    </row>
    <row r="72" spans="1:12" x14ac:dyDescent="0.3">
      <c r="A72" s="2">
        <v>44657</v>
      </c>
      <c r="B72" s="11">
        <v>4481.1499999999996</v>
      </c>
      <c r="C72" s="11">
        <v>13888.82</v>
      </c>
      <c r="D72" s="11">
        <v>91.512500000000003</v>
      </c>
      <c r="E72" s="11">
        <v>2735.03</v>
      </c>
      <c r="F72" s="11">
        <v>943.13</v>
      </c>
      <c r="G72" s="11">
        <v>72.253600000000006</v>
      </c>
      <c r="H72" s="11">
        <v>91.129199999999997</v>
      </c>
      <c r="I72" s="11">
        <v>1.25</v>
      </c>
      <c r="J72" s="11">
        <v>1.268</v>
      </c>
      <c r="K72" s="11">
        <v>0.3</v>
      </c>
      <c r="L72" s="11">
        <v>1.2410000000000001</v>
      </c>
    </row>
    <row r="73" spans="1:12" x14ac:dyDescent="0.3">
      <c r="A73" s="2">
        <v>44658</v>
      </c>
      <c r="B73" s="11">
        <v>4500.21</v>
      </c>
      <c r="C73" s="11">
        <v>13897.3</v>
      </c>
      <c r="D73" s="11">
        <v>91.706999999999994</v>
      </c>
      <c r="E73" s="11">
        <v>2695.86</v>
      </c>
      <c r="F73" s="11">
        <v>927.95</v>
      </c>
      <c r="G73" s="11">
        <v>72.305800000000005</v>
      </c>
      <c r="H73" s="11">
        <v>90.903499999999994</v>
      </c>
      <c r="I73" s="11">
        <v>1.25</v>
      </c>
      <c r="J73" s="11">
        <v>1.1180000000000001</v>
      </c>
      <c r="K73" s="11">
        <v>0.3</v>
      </c>
      <c r="L73" s="11">
        <v>1.1779999999999999</v>
      </c>
    </row>
    <row r="74" spans="1:12" x14ac:dyDescent="0.3">
      <c r="A74" s="2">
        <v>44659</v>
      </c>
      <c r="B74" s="11">
        <v>4488.28</v>
      </c>
      <c r="C74" s="11">
        <v>13711</v>
      </c>
      <c r="D74" s="11">
        <v>91.623599999999996</v>
      </c>
      <c r="E74" s="11">
        <v>2700.39</v>
      </c>
      <c r="F74" s="11">
        <v>934.73</v>
      </c>
      <c r="G74" s="11">
        <v>72.218800000000002</v>
      </c>
      <c r="H74" s="11">
        <v>90.443200000000004</v>
      </c>
      <c r="I74" s="11">
        <v>1.25</v>
      </c>
      <c r="J74" s="11">
        <v>1.0580000000000001</v>
      </c>
      <c r="K74" s="11">
        <v>0.3</v>
      </c>
      <c r="L74" s="11">
        <v>1.1579999999999999</v>
      </c>
    </row>
    <row r="75" spans="1:12" x14ac:dyDescent="0.3">
      <c r="A75" s="2">
        <v>44662</v>
      </c>
      <c r="B75" s="11">
        <v>4412.53</v>
      </c>
      <c r="C75" s="11">
        <v>13411.96</v>
      </c>
      <c r="D75" s="11">
        <v>90.317599999999999</v>
      </c>
      <c r="E75" s="11">
        <v>2693.1</v>
      </c>
      <c r="F75" s="11">
        <v>921.83</v>
      </c>
      <c r="G75" s="11">
        <v>72.236199999999997</v>
      </c>
      <c r="H75" s="11">
        <v>90.009</v>
      </c>
      <c r="I75" s="11">
        <v>1.25</v>
      </c>
      <c r="J75" s="11">
        <v>1.06</v>
      </c>
      <c r="K75" s="11">
        <v>0.3</v>
      </c>
      <c r="L75" s="11">
        <v>1.1679999999999999</v>
      </c>
    </row>
    <row r="76" spans="1:12" x14ac:dyDescent="0.3">
      <c r="A76" s="2">
        <v>44663</v>
      </c>
      <c r="B76" s="11">
        <v>4397.45</v>
      </c>
      <c r="C76" s="11">
        <v>13371.57</v>
      </c>
      <c r="D76" s="11">
        <v>89.817499999999995</v>
      </c>
      <c r="E76" s="11">
        <v>2666.76</v>
      </c>
      <c r="F76" s="11">
        <v>913.82</v>
      </c>
      <c r="G76" s="11">
        <v>72.418800000000005</v>
      </c>
      <c r="H76" s="11">
        <v>90.443200000000004</v>
      </c>
      <c r="I76" s="11">
        <v>1.25</v>
      </c>
      <c r="J76" s="11">
        <v>1.0569999999999999</v>
      </c>
      <c r="K76" s="11">
        <v>0.28999999999999998</v>
      </c>
      <c r="L76" s="11">
        <v>1.1819999999999999</v>
      </c>
    </row>
    <row r="77" spans="1:12" x14ac:dyDescent="0.3">
      <c r="A77" s="2">
        <v>44664</v>
      </c>
      <c r="B77" s="11">
        <v>4446.59</v>
      </c>
      <c r="C77" s="11">
        <v>13643.59</v>
      </c>
      <c r="D77" s="11">
        <v>90.901200000000003</v>
      </c>
      <c r="E77" s="11">
        <v>2716.49</v>
      </c>
      <c r="F77" s="11">
        <v>927.31</v>
      </c>
      <c r="G77" s="11">
        <v>72.453599999999994</v>
      </c>
      <c r="H77" s="11">
        <v>90.642899999999997</v>
      </c>
      <c r="I77" s="11">
        <v>1.25</v>
      </c>
      <c r="J77" s="11">
        <v>1.0329999999999999</v>
      </c>
      <c r="K77" s="11">
        <v>0.28999999999999998</v>
      </c>
      <c r="L77" s="11">
        <v>1.141</v>
      </c>
    </row>
    <row r="78" spans="1:12" x14ac:dyDescent="0.3">
      <c r="A78" s="2">
        <v>44665</v>
      </c>
      <c r="B78" s="11">
        <v>4392.59</v>
      </c>
      <c r="C78" s="11">
        <v>13351.08</v>
      </c>
      <c r="D78" s="11">
        <v>89.947100000000006</v>
      </c>
      <c r="E78" s="11">
        <v>2716.71</v>
      </c>
      <c r="F78" s="11">
        <v>928.01</v>
      </c>
      <c r="G78" s="11">
        <v>72.3232</v>
      </c>
      <c r="H78" s="11">
        <v>89.826700000000002</v>
      </c>
      <c r="I78" s="11">
        <v>1.5</v>
      </c>
      <c r="J78" s="11">
        <v>1.2749999999999999</v>
      </c>
      <c r="K78" s="11">
        <v>0.28999999999999998</v>
      </c>
      <c r="L78" s="11">
        <v>1.333</v>
      </c>
    </row>
    <row r="79" spans="1:12" x14ac:dyDescent="0.3">
      <c r="A79" s="2">
        <v>44666</v>
      </c>
      <c r="B79" s="11">
        <v>4392.59</v>
      </c>
      <c r="C79" s="11">
        <v>13351.08</v>
      </c>
      <c r="D79" s="11">
        <v>89.947100000000006</v>
      </c>
      <c r="E79" s="11">
        <v>2696.06</v>
      </c>
      <c r="F79" s="11">
        <v>924.44</v>
      </c>
      <c r="G79" s="11">
        <v>72.3232</v>
      </c>
      <c r="H79" s="11">
        <v>89.826700000000002</v>
      </c>
      <c r="I79" s="11">
        <v>1.5</v>
      </c>
      <c r="J79" s="11">
        <v>1.476</v>
      </c>
      <c r="K79" s="11">
        <v>0.28999999999999998</v>
      </c>
      <c r="L79" s="11">
        <v>1.4319999999999999</v>
      </c>
    </row>
    <row r="80" spans="1:12" x14ac:dyDescent="0.3">
      <c r="A80" s="2">
        <v>44669</v>
      </c>
      <c r="B80" s="11">
        <v>4391.6899999999996</v>
      </c>
      <c r="C80" s="11">
        <v>13332.36</v>
      </c>
      <c r="D80" s="11">
        <v>89.799000000000007</v>
      </c>
      <c r="E80" s="11">
        <v>2693.21</v>
      </c>
      <c r="F80" s="11">
        <v>918.23</v>
      </c>
      <c r="G80" s="11">
        <v>72.3232</v>
      </c>
      <c r="H80" s="11">
        <v>89.566100000000006</v>
      </c>
      <c r="I80" s="11">
        <v>1.5</v>
      </c>
      <c r="J80" s="11">
        <v>1.45</v>
      </c>
      <c r="K80" s="11">
        <v>0.28999999999999998</v>
      </c>
      <c r="L80" s="11">
        <v>1.395</v>
      </c>
    </row>
    <row r="81" spans="1:12" x14ac:dyDescent="0.3">
      <c r="A81" s="2">
        <v>44670</v>
      </c>
      <c r="B81" s="11">
        <v>4462.21</v>
      </c>
      <c r="C81" s="11">
        <v>13619.66</v>
      </c>
      <c r="D81" s="11">
        <v>90.753</v>
      </c>
      <c r="E81" s="11">
        <v>2718.89</v>
      </c>
      <c r="F81" s="11">
        <v>931.56</v>
      </c>
      <c r="G81" s="11">
        <v>72.158000000000001</v>
      </c>
      <c r="H81" s="11">
        <v>88.9756</v>
      </c>
      <c r="I81" s="11">
        <v>1.5</v>
      </c>
      <c r="J81" s="11">
        <v>1.381</v>
      </c>
      <c r="K81" s="11">
        <v>0.28000000000000003</v>
      </c>
      <c r="L81" s="11">
        <v>1.399</v>
      </c>
    </row>
    <row r="82" spans="1:12" x14ac:dyDescent="0.3">
      <c r="A82" s="2">
        <v>44671</v>
      </c>
      <c r="B82" s="11">
        <v>4459.45</v>
      </c>
      <c r="C82" s="11">
        <v>13453.07</v>
      </c>
      <c r="D82" s="11">
        <v>90.836299999999994</v>
      </c>
      <c r="E82" s="11">
        <v>2718.69</v>
      </c>
      <c r="F82" s="11">
        <v>928.93</v>
      </c>
      <c r="G82" s="11">
        <v>72.201400000000007</v>
      </c>
      <c r="H82" s="11">
        <v>89.670299999999997</v>
      </c>
      <c r="I82" s="11">
        <v>1.5</v>
      </c>
      <c r="J82" s="11">
        <v>1.38</v>
      </c>
      <c r="K82" s="11">
        <v>0.27</v>
      </c>
      <c r="L82" s="11">
        <v>1.375</v>
      </c>
    </row>
    <row r="83" spans="1:12" x14ac:dyDescent="0.3">
      <c r="A83" s="2">
        <v>44672</v>
      </c>
      <c r="B83" s="11">
        <v>4393.66</v>
      </c>
      <c r="C83" s="11">
        <v>13174.65</v>
      </c>
      <c r="D83" s="11">
        <v>89.4285</v>
      </c>
      <c r="E83" s="11">
        <v>2728.21</v>
      </c>
      <c r="F83" s="11">
        <v>929.68</v>
      </c>
      <c r="G83" s="11">
        <v>72.079700000000003</v>
      </c>
      <c r="H83" s="11">
        <v>89.175399999999996</v>
      </c>
      <c r="I83" s="11">
        <v>1.5</v>
      </c>
      <c r="J83" s="11">
        <v>1.3360000000000001</v>
      </c>
      <c r="K83" s="11">
        <v>0.26</v>
      </c>
      <c r="L83" s="11">
        <v>1.3919999999999999</v>
      </c>
    </row>
    <row r="84" spans="1:12" x14ac:dyDescent="0.3">
      <c r="A84" s="2">
        <v>44673</v>
      </c>
      <c r="B84" s="11">
        <v>4271.78</v>
      </c>
      <c r="C84" s="11">
        <v>12839.29</v>
      </c>
      <c r="D84" s="11">
        <v>87.418499999999995</v>
      </c>
      <c r="E84" s="11">
        <v>2704.71</v>
      </c>
      <c r="F84" s="11">
        <v>922.78</v>
      </c>
      <c r="G84" s="11">
        <v>72.062299999999993</v>
      </c>
      <c r="H84" s="11">
        <v>89.218800000000002</v>
      </c>
      <c r="I84" s="11">
        <v>1.5</v>
      </c>
      <c r="J84" s="11">
        <v>1.391</v>
      </c>
      <c r="K84" s="11">
        <v>0.27</v>
      </c>
      <c r="L84" s="11">
        <v>1.4490000000000001</v>
      </c>
    </row>
    <row r="85" spans="1:12" x14ac:dyDescent="0.3">
      <c r="A85" s="2">
        <v>44676</v>
      </c>
      <c r="B85" s="11">
        <v>4296.12</v>
      </c>
      <c r="C85" s="11">
        <v>13004.85</v>
      </c>
      <c r="D85" s="11">
        <v>87.557500000000005</v>
      </c>
      <c r="E85" s="11">
        <v>2657.13</v>
      </c>
      <c r="F85" s="11">
        <v>899.84</v>
      </c>
      <c r="G85" s="11">
        <v>72.175299999999993</v>
      </c>
      <c r="H85" s="11">
        <v>89.791899999999998</v>
      </c>
      <c r="I85" s="11">
        <v>1.5</v>
      </c>
      <c r="J85" s="11">
        <v>1.4419999999999999</v>
      </c>
      <c r="K85" s="11">
        <v>0.27</v>
      </c>
      <c r="L85" s="11">
        <v>1.4179999999999999</v>
      </c>
    </row>
    <row r="86" spans="1:12" x14ac:dyDescent="0.3">
      <c r="A86" s="2">
        <v>44677</v>
      </c>
      <c r="B86" s="11">
        <v>4175.2</v>
      </c>
      <c r="C86" s="11">
        <v>12490.74</v>
      </c>
      <c r="D86" s="11">
        <v>85.14</v>
      </c>
      <c r="E86" s="11">
        <v>2668.31</v>
      </c>
      <c r="F86" s="11">
        <v>911.16</v>
      </c>
      <c r="G86" s="11">
        <v>72.305800000000005</v>
      </c>
      <c r="H86" s="11">
        <v>90.391099999999994</v>
      </c>
      <c r="I86" s="11">
        <v>1.5</v>
      </c>
      <c r="J86" s="11">
        <v>1.4339999999999999</v>
      </c>
      <c r="K86" s="11">
        <v>0.27</v>
      </c>
      <c r="L86" s="11">
        <v>1.385</v>
      </c>
    </row>
    <row r="87" spans="1:12" x14ac:dyDescent="0.3">
      <c r="A87" s="2">
        <v>44678</v>
      </c>
      <c r="B87" s="11">
        <v>4183.96</v>
      </c>
      <c r="C87" s="11">
        <v>12488.93</v>
      </c>
      <c r="D87" s="11">
        <v>85.464100000000002</v>
      </c>
      <c r="E87" s="11">
        <v>2639.06</v>
      </c>
      <c r="F87" s="11">
        <v>896.18</v>
      </c>
      <c r="G87" s="11">
        <v>72.271000000000001</v>
      </c>
      <c r="H87" s="11">
        <v>89.8874</v>
      </c>
      <c r="I87" s="11">
        <v>1.5</v>
      </c>
      <c r="J87" s="11">
        <v>1.3160000000000001</v>
      </c>
      <c r="K87" s="11">
        <v>0.28000000000000003</v>
      </c>
      <c r="L87" s="11">
        <v>1.359</v>
      </c>
    </row>
    <row r="88" spans="1:12" x14ac:dyDescent="0.3">
      <c r="A88" s="2">
        <v>44679</v>
      </c>
      <c r="B88" s="11">
        <v>4287.5</v>
      </c>
      <c r="C88" s="11">
        <v>12871.53</v>
      </c>
      <c r="D88" s="11">
        <v>87.251800000000003</v>
      </c>
      <c r="E88" s="11">
        <v>2667.49</v>
      </c>
      <c r="F88" s="11">
        <v>892.22</v>
      </c>
      <c r="G88" s="11">
        <v>72.218800000000002</v>
      </c>
      <c r="H88" s="11">
        <v>89.757199999999997</v>
      </c>
      <c r="I88" s="11">
        <v>1.5</v>
      </c>
      <c r="J88" s="11">
        <v>1.2749999999999999</v>
      </c>
      <c r="K88" s="11">
        <v>0.28000000000000003</v>
      </c>
      <c r="L88" s="11">
        <v>1.347</v>
      </c>
    </row>
    <row r="89" spans="1:12" x14ac:dyDescent="0.3">
      <c r="A89" s="2">
        <v>44680</v>
      </c>
      <c r="B89" s="11">
        <v>4131.93</v>
      </c>
      <c r="C89" s="11">
        <v>12334.64</v>
      </c>
      <c r="D89" s="11">
        <v>84.963999999999999</v>
      </c>
      <c r="E89" s="11">
        <v>2695.05</v>
      </c>
      <c r="F89" s="11">
        <v>904.75</v>
      </c>
      <c r="G89" s="11">
        <v>72.079700000000003</v>
      </c>
      <c r="H89" s="11">
        <v>89.279600000000002</v>
      </c>
      <c r="I89" s="11">
        <v>1.5</v>
      </c>
      <c r="J89" s="11">
        <v>1.52</v>
      </c>
      <c r="K89" s="11">
        <v>0.28000000000000003</v>
      </c>
      <c r="L89" s="11">
        <v>1.53</v>
      </c>
    </row>
    <row r="90" spans="1:12" x14ac:dyDescent="0.3">
      <c r="A90" s="2">
        <v>44683</v>
      </c>
      <c r="B90" s="11">
        <v>4155.38</v>
      </c>
      <c r="C90" s="11">
        <v>12536.02</v>
      </c>
      <c r="D90" s="11">
        <v>85.241900000000001</v>
      </c>
      <c r="E90" s="11">
        <v>2687.45</v>
      </c>
      <c r="F90" s="11">
        <v>901.82</v>
      </c>
      <c r="G90" s="11">
        <v>72.074100000000001</v>
      </c>
      <c r="H90" s="11">
        <v>88.614500000000007</v>
      </c>
      <c r="I90" s="11">
        <v>1.5</v>
      </c>
      <c r="J90" s="11">
        <v>1.4790000000000001</v>
      </c>
      <c r="K90" s="11">
        <v>0.3</v>
      </c>
      <c r="L90" s="11">
        <v>1.454</v>
      </c>
    </row>
    <row r="91" spans="1:12" x14ac:dyDescent="0.3">
      <c r="A91" s="2">
        <v>44684</v>
      </c>
      <c r="B91" s="11">
        <v>4175.4799999999996</v>
      </c>
      <c r="C91" s="11">
        <v>12563.76</v>
      </c>
      <c r="D91" s="11">
        <v>85.760499999999993</v>
      </c>
      <c r="E91" s="11">
        <v>2680.46</v>
      </c>
      <c r="F91" s="11">
        <v>907.57</v>
      </c>
      <c r="G91" s="11">
        <v>72.039299999999997</v>
      </c>
      <c r="H91" s="11">
        <v>88.718900000000005</v>
      </c>
      <c r="I91" s="11">
        <v>1.5</v>
      </c>
      <c r="J91" s="11">
        <v>1.3120000000000001</v>
      </c>
      <c r="K91" s="11">
        <v>0.3</v>
      </c>
      <c r="L91" s="11">
        <v>1.4419999999999999</v>
      </c>
    </row>
    <row r="92" spans="1:12" x14ac:dyDescent="0.3">
      <c r="A92" s="2">
        <v>44685</v>
      </c>
      <c r="B92" s="11">
        <v>4300.17</v>
      </c>
      <c r="C92" s="11">
        <v>12964.86</v>
      </c>
      <c r="D92" s="11">
        <v>87.779700000000005</v>
      </c>
      <c r="E92" s="11">
        <v>2677.57</v>
      </c>
      <c r="F92" s="11">
        <v>900.06</v>
      </c>
      <c r="G92" s="11">
        <v>72.230699999999999</v>
      </c>
      <c r="H92" s="11">
        <v>89.292699999999996</v>
      </c>
      <c r="I92" s="11">
        <v>1.5</v>
      </c>
      <c r="J92" s="11">
        <v>1.2969999999999999</v>
      </c>
      <c r="K92" s="11">
        <v>0.3</v>
      </c>
      <c r="L92" s="11">
        <v>1.4490000000000001</v>
      </c>
    </row>
    <row r="93" spans="1:12" x14ac:dyDescent="0.3">
      <c r="A93" s="2">
        <v>44686</v>
      </c>
      <c r="B93" s="11">
        <v>4146.87</v>
      </c>
      <c r="C93" s="11">
        <v>12317.69</v>
      </c>
      <c r="D93" s="11">
        <v>84.787999999999997</v>
      </c>
      <c r="E93" s="11">
        <v>2677.57</v>
      </c>
      <c r="F93" s="11">
        <v>900.06</v>
      </c>
      <c r="G93" s="11">
        <v>72.108900000000006</v>
      </c>
      <c r="H93" s="11">
        <v>88.397199999999998</v>
      </c>
      <c r="I93" s="11">
        <v>1.5</v>
      </c>
      <c r="J93" s="11">
        <v>1.2969999999999999</v>
      </c>
      <c r="K93" s="11">
        <v>0.79</v>
      </c>
      <c r="L93" s="11">
        <v>1.5</v>
      </c>
    </row>
    <row r="94" spans="1:12" x14ac:dyDescent="0.3">
      <c r="A94" s="2">
        <v>44687</v>
      </c>
      <c r="B94" s="11">
        <v>4123.34</v>
      </c>
      <c r="C94" s="11">
        <v>12144.66</v>
      </c>
      <c r="D94" s="11">
        <v>83.945099999999996</v>
      </c>
      <c r="E94" s="11">
        <v>2644.51</v>
      </c>
      <c r="F94" s="11">
        <v>884.22</v>
      </c>
      <c r="G94" s="11">
        <v>72.100200000000001</v>
      </c>
      <c r="H94" s="11">
        <v>87.892899999999997</v>
      </c>
      <c r="I94" s="11">
        <v>1.5</v>
      </c>
      <c r="J94" s="11">
        <v>1.2989999999999999</v>
      </c>
      <c r="K94" s="11">
        <v>0.78</v>
      </c>
      <c r="L94" s="11">
        <v>1.415</v>
      </c>
    </row>
    <row r="95" spans="1:12" x14ac:dyDescent="0.3">
      <c r="A95" s="2">
        <v>44690</v>
      </c>
      <c r="B95" s="11">
        <v>3991.24</v>
      </c>
      <c r="C95" s="11">
        <v>11623.25</v>
      </c>
      <c r="D95" s="11">
        <v>81.286799999999999</v>
      </c>
      <c r="E95" s="11">
        <v>2610.81</v>
      </c>
      <c r="F95" s="11">
        <v>860.84</v>
      </c>
      <c r="G95" s="11">
        <v>72.282899999999998</v>
      </c>
      <c r="H95" s="11">
        <v>88.545000000000002</v>
      </c>
      <c r="I95" s="11">
        <v>1.5</v>
      </c>
      <c r="J95" s="11">
        <v>1.2529999999999999</v>
      </c>
      <c r="K95" s="11">
        <v>0.78</v>
      </c>
      <c r="L95" s="11">
        <v>1.34</v>
      </c>
    </row>
    <row r="96" spans="1:12" x14ac:dyDescent="0.3">
      <c r="A96" s="2">
        <v>44691</v>
      </c>
      <c r="B96" s="11">
        <v>4001.05</v>
      </c>
      <c r="C96" s="11">
        <v>11737.67</v>
      </c>
      <c r="D96" s="11">
        <v>81.573899999999995</v>
      </c>
      <c r="E96" s="11">
        <v>2596.56</v>
      </c>
      <c r="F96" s="11">
        <v>856.14</v>
      </c>
      <c r="G96" s="11">
        <v>72.239400000000003</v>
      </c>
      <c r="H96" s="11">
        <v>88.840599999999995</v>
      </c>
      <c r="I96" s="11">
        <v>1.5</v>
      </c>
      <c r="J96" s="11">
        <v>1.31</v>
      </c>
      <c r="K96" s="11">
        <v>0.78</v>
      </c>
      <c r="L96" s="11">
        <v>1.357</v>
      </c>
    </row>
    <row r="97" spans="1:12" x14ac:dyDescent="0.3">
      <c r="A97" s="2">
        <v>44692</v>
      </c>
      <c r="B97" s="11">
        <v>3935.18</v>
      </c>
      <c r="C97" s="11">
        <v>11364.24</v>
      </c>
      <c r="D97" s="11">
        <v>80.555099999999996</v>
      </c>
      <c r="E97" s="11">
        <v>2592.27</v>
      </c>
      <c r="F97" s="11">
        <v>866.34</v>
      </c>
      <c r="G97" s="11">
        <v>72.248099999999994</v>
      </c>
      <c r="H97" s="11">
        <v>89.388400000000004</v>
      </c>
      <c r="I97" s="11">
        <v>1.5</v>
      </c>
      <c r="J97" s="11">
        <v>1.3080000000000001</v>
      </c>
      <c r="K97" s="11">
        <v>0.78</v>
      </c>
      <c r="L97" s="11">
        <v>1.478</v>
      </c>
    </row>
    <row r="98" spans="1:12" x14ac:dyDescent="0.3">
      <c r="A98" s="2">
        <v>44693</v>
      </c>
      <c r="B98" s="11">
        <v>3930.08</v>
      </c>
      <c r="C98" s="11">
        <v>11370.96</v>
      </c>
      <c r="D98" s="11">
        <v>80.443899999999999</v>
      </c>
      <c r="E98" s="11">
        <v>2550.08</v>
      </c>
      <c r="F98" s="11">
        <v>833.66</v>
      </c>
      <c r="G98" s="11">
        <v>72.352500000000006</v>
      </c>
      <c r="H98" s="11">
        <v>89.683999999999997</v>
      </c>
      <c r="I98" s="11">
        <v>1.5</v>
      </c>
      <c r="J98" s="11">
        <v>1.268</v>
      </c>
      <c r="K98" s="11">
        <v>0.79</v>
      </c>
      <c r="L98" s="11">
        <v>1.4239999999999999</v>
      </c>
    </row>
    <row r="99" spans="1:12" x14ac:dyDescent="0.3">
      <c r="A99" s="2">
        <v>44694</v>
      </c>
      <c r="B99" s="11">
        <v>4023.89</v>
      </c>
      <c r="C99" s="11">
        <v>11805</v>
      </c>
      <c r="D99" s="11">
        <v>82.564999999999998</v>
      </c>
      <c r="E99" s="11">
        <v>2604.2399999999998</v>
      </c>
      <c r="F99" s="11">
        <v>853.08</v>
      </c>
      <c r="G99" s="11">
        <v>72.326400000000007</v>
      </c>
      <c r="H99" s="11">
        <v>89.214500000000001</v>
      </c>
      <c r="I99" s="11">
        <v>1.5</v>
      </c>
      <c r="J99" s="11">
        <v>1.268</v>
      </c>
      <c r="K99" s="11">
        <v>0.79</v>
      </c>
      <c r="L99" s="11">
        <v>1.399</v>
      </c>
    </row>
    <row r="100" spans="1:12" x14ac:dyDescent="0.3">
      <c r="A100" s="2">
        <v>44697</v>
      </c>
      <c r="B100" s="11">
        <v>4008.01</v>
      </c>
      <c r="C100" s="11">
        <v>11662.79</v>
      </c>
      <c r="D100" s="11">
        <v>82.296400000000006</v>
      </c>
      <c r="E100" s="11">
        <v>2596.58</v>
      </c>
      <c r="F100" s="11">
        <v>856.25</v>
      </c>
      <c r="G100" s="11">
        <v>72.369900000000001</v>
      </c>
      <c r="H100" s="11">
        <v>89.588300000000004</v>
      </c>
      <c r="I100" s="11">
        <v>1.5</v>
      </c>
      <c r="J100" s="11">
        <v>1.2669999999999999</v>
      </c>
      <c r="K100" s="11">
        <v>0.8</v>
      </c>
      <c r="L100" s="11">
        <v>1.4590000000000001</v>
      </c>
    </row>
    <row r="101" spans="1:12" x14ac:dyDescent="0.3">
      <c r="A101" s="2">
        <v>44698</v>
      </c>
      <c r="B101" s="11">
        <v>4088.85</v>
      </c>
      <c r="C101" s="11">
        <v>11984.52</v>
      </c>
      <c r="D101" s="11">
        <v>83.9636</v>
      </c>
      <c r="E101" s="11">
        <v>2620.44</v>
      </c>
      <c r="F101" s="11">
        <v>865.98</v>
      </c>
      <c r="G101" s="11">
        <v>72.213300000000004</v>
      </c>
      <c r="H101" s="11">
        <v>88.910200000000003</v>
      </c>
      <c r="I101" s="11">
        <v>1.5</v>
      </c>
      <c r="J101" s="11">
        <v>1.3939999999999999</v>
      </c>
      <c r="K101" s="11">
        <v>0.8</v>
      </c>
      <c r="L101" s="11">
        <v>1.474</v>
      </c>
    </row>
    <row r="102" spans="1:12" x14ac:dyDescent="0.3">
      <c r="A102" s="2">
        <v>44699</v>
      </c>
      <c r="B102" s="11">
        <v>3923.68</v>
      </c>
      <c r="C102" s="11">
        <v>11418.15</v>
      </c>
      <c r="D102" s="11">
        <v>81.1571</v>
      </c>
      <c r="E102" s="11">
        <v>2625.98</v>
      </c>
      <c r="F102" s="11">
        <v>871.57</v>
      </c>
      <c r="G102" s="11">
        <v>72.248099999999994</v>
      </c>
      <c r="H102" s="11">
        <v>89.544899999999998</v>
      </c>
      <c r="I102" s="11">
        <v>1.5</v>
      </c>
      <c r="J102" s="11">
        <v>1.395</v>
      </c>
      <c r="K102" s="11">
        <v>0.79</v>
      </c>
      <c r="L102" s="11">
        <v>1.49</v>
      </c>
    </row>
    <row r="103" spans="1:12" x14ac:dyDescent="0.3">
      <c r="A103" s="2">
        <v>44700</v>
      </c>
      <c r="B103" s="11">
        <v>3900.79</v>
      </c>
      <c r="C103" s="11">
        <v>11388.5</v>
      </c>
      <c r="D103" s="11">
        <v>81.231200000000001</v>
      </c>
      <c r="E103" s="11">
        <v>2592.34</v>
      </c>
      <c r="F103" s="11">
        <v>863.8</v>
      </c>
      <c r="G103" s="11">
        <v>72.352500000000006</v>
      </c>
      <c r="H103" s="11">
        <v>89.866600000000005</v>
      </c>
      <c r="I103" s="11">
        <v>1.5</v>
      </c>
      <c r="J103" s="11">
        <v>1.488</v>
      </c>
      <c r="K103" s="11">
        <v>0.79</v>
      </c>
      <c r="L103" s="11">
        <v>1.5</v>
      </c>
    </row>
    <row r="104" spans="1:12" x14ac:dyDescent="0.3">
      <c r="A104" s="2">
        <v>44701</v>
      </c>
      <c r="B104" s="11">
        <v>3901.36</v>
      </c>
      <c r="C104" s="11">
        <v>11354.62</v>
      </c>
      <c r="D104" s="11">
        <v>81.462800000000001</v>
      </c>
      <c r="E104" s="11">
        <v>2639.29</v>
      </c>
      <c r="F104" s="11">
        <v>879.88</v>
      </c>
      <c r="G104" s="11">
        <v>72.404700000000005</v>
      </c>
      <c r="H104" s="11">
        <v>90.283900000000003</v>
      </c>
      <c r="I104" s="11">
        <v>1.5</v>
      </c>
      <c r="J104" s="11">
        <v>1.5660000000000001</v>
      </c>
      <c r="K104" s="11">
        <v>0.78</v>
      </c>
      <c r="L104" s="11">
        <v>1.526</v>
      </c>
    </row>
    <row r="105" spans="1:12" x14ac:dyDescent="0.3">
      <c r="A105" s="2">
        <v>44704</v>
      </c>
      <c r="B105" s="11">
        <v>3973.75</v>
      </c>
      <c r="C105" s="11">
        <v>11535.27</v>
      </c>
      <c r="D105" s="11">
        <v>82.778099999999995</v>
      </c>
      <c r="E105" s="11">
        <v>2647.38</v>
      </c>
      <c r="F105" s="11">
        <v>883.59</v>
      </c>
      <c r="G105" s="11">
        <v>72.369900000000001</v>
      </c>
      <c r="H105" s="11">
        <v>89.736099999999993</v>
      </c>
      <c r="I105" s="11">
        <v>1.5</v>
      </c>
      <c r="J105" s="11">
        <v>1.577</v>
      </c>
      <c r="K105" s="11">
        <v>0.78</v>
      </c>
      <c r="L105" s="11">
        <v>1.5149999999999999</v>
      </c>
    </row>
    <row r="106" spans="1:12" x14ac:dyDescent="0.3">
      <c r="A106" s="2">
        <v>44705</v>
      </c>
      <c r="B106" s="11">
        <v>3941.48</v>
      </c>
      <c r="C106" s="11">
        <v>11264.45</v>
      </c>
      <c r="D106" s="11">
        <v>82.092600000000004</v>
      </c>
      <c r="E106" s="11">
        <v>2605.87</v>
      </c>
      <c r="F106" s="11">
        <v>865.07</v>
      </c>
      <c r="G106" s="11">
        <v>72.535200000000003</v>
      </c>
      <c r="H106" s="11">
        <v>90.509900000000002</v>
      </c>
      <c r="I106" s="11">
        <v>1.5</v>
      </c>
      <c r="J106" s="11">
        <v>1.502</v>
      </c>
      <c r="K106" s="11">
        <v>0.78</v>
      </c>
      <c r="L106" s="11">
        <v>1.4910000000000001</v>
      </c>
    </row>
    <row r="107" spans="1:12" x14ac:dyDescent="0.3">
      <c r="A107" s="2">
        <v>44706</v>
      </c>
      <c r="B107" s="11">
        <v>3978.73</v>
      </c>
      <c r="C107" s="11">
        <v>11434.74</v>
      </c>
      <c r="D107" s="11">
        <v>82.657600000000002</v>
      </c>
      <c r="E107" s="11">
        <v>2617.2199999999998</v>
      </c>
      <c r="F107" s="11">
        <v>872.69</v>
      </c>
      <c r="G107" s="11">
        <v>72.587400000000002</v>
      </c>
      <c r="H107" s="11">
        <v>90.692499999999995</v>
      </c>
      <c r="I107" s="11">
        <v>1.5</v>
      </c>
      <c r="J107" s="11">
        <v>1.5509999999999999</v>
      </c>
      <c r="K107" s="11">
        <v>0.78</v>
      </c>
      <c r="L107" s="11">
        <v>1.5069999999999999</v>
      </c>
    </row>
    <row r="108" spans="1:12" x14ac:dyDescent="0.3">
      <c r="A108" s="2">
        <v>44707</v>
      </c>
      <c r="B108" s="11">
        <v>4057.84</v>
      </c>
      <c r="C108" s="11">
        <v>11740.65</v>
      </c>
      <c r="D108" s="11">
        <v>84.019199999999998</v>
      </c>
      <c r="E108" s="11">
        <v>2612.4499999999998</v>
      </c>
      <c r="F108" s="11">
        <v>871.43</v>
      </c>
      <c r="G108" s="11">
        <v>72.604799999999997</v>
      </c>
      <c r="H108" s="11">
        <v>90.649100000000004</v>
      </c>
      <c r="I108" s="11">
        <v>1.75</v>
      </c>
      <c r="J108" s="11">
        <v>1.7989999999999999</v>
      </c>
      <c r="K108" s="11">
        <v>0.78</v>
      </c>
      <c r="L108" s="11">
        <v>1.6870000000000001</v>
      </c>
    </row>
    <row r="109" spans="1:12" x14ac:dyDescent="0.3">
      <c r="A109" s="2">
        <v>44708</v>
      </c>
      <c r="B109" s="11">
        <v>4158.24</v>
      </c>
      <c r="C109" s="11">
        <v>12131.13</v>
      </c>
      <c r="D109" s="11">
        <v>85.732799999999997</v>
      </c>
      <c r="E109" s="11">
        <v>2638.05</v>
      </c>
      <c r="F109" s="11">
        <v>873.97</v>
      </c>
      <c r="G109" s="11">
        <v>72.622200000000007</v>
      </c>
      <c r="H109" s="11">
        <v>90.779499999999999</v>
      </c>
      <c r="I109" s="11">
        <v>1.75</v>
      </c>
      <c r="J109" s="11">
        <v>1.7749999999999999</v>
      </c>
      <c r="K109" s="11">
        <v>0.78</v>
      </c>
      <c r="L109" s="11">
        <v>1.758</v>
      </c>
    </row>
    <row r="110" spans="1:12" x14ac:dyDescent="0.3">
      <c r="A110" s="2">
        <v>44711</v>
      </c>
      <c r="B110" s="11">
        <v>4158.24</v>
      </c>
      <c r="C110" s="11">
        <v>12131.13</v>
      </c>
      <c r="D110" s="11">
        <v>85.732799999999997</v>
      </c>
      <c r="E110" s="11">
        <v>2669.66</v>
      </c>
      <c r="F110" s="11">
        <v>886.44</v>
      </c>
      <c r="G110" s="11">
        <v>72.622200000000007</v>
      </c>
      <c r="H110" s="11">
        <v>90.779499999999999</v>
      </c>
      <c r="I110" s="11">
        <v>1.75</v>
      </c>
      <c r="J110" s="11">
        <v>1.7589999999999999</v>
      </c>
      <c r="K110" s="11">
        <v>0.78</v>
      </c>
      <c r="L110" s="11">
        <v>1.732</v>
      </c>
    </row>
    <row r="111" spans="1:12" x14ac:dyDescent="0.3">
      <c r="A111" s="2">
        <v>44712</v>
      </c>
      <c r="B111" s="11">
        <v>4132.1499999999996</v>
      </c>
      <c r="C111" s="11">
        <v>12081.39</v>
      </c>
      <c r="D111" s="11">
        <v>85.343699999999998</v>
      </c>
      <c r="E111" s="11">
        <v>2685.9</v>
      </c>
      <c r="F111" s="11">
        <v>893.36</v>
      </c>
      <c r="G111" s="11">
        <v>72.509100000000004</v>
      </c>
      <c r="H111" s="11">
        <v>89.831800000000001</v>
      </c>
      <c r="I111" s="11">
        <v>1.75</v>
      </c>
      <c r="J111" s="11">
        <v>1.901</v>
      </c>
      <c r="K111" s="11">
        <v>0.79</v>
      </c>
      <c r="L111" s="11">
        <v>1.863</v>
      </c>
    </row>
    <row r="112" spans="1:12" x14ac:dyDescent="0.3">
      <c r="A112" s="2">
        <v>44713</v>
      </c>
      <c r="B112" s="11">
        <v>4101.2299999999996</v>
      </c>
      <c r="C112" s="11">
        <v>11994.46</v>
      </c>
      <c r="D112" s="11">
        <v>84.713899999999995</v>
      </c>
      <c r="E112" s="11">
        <v>2685.9</v>
      </c>
      <c r="F112" s="11">
        <v>893.36</v>
      </c>
      <c r="G112" s="11">
        <v>72.373999999999995</v>
      </c>
      <c r="H112" s="11">
        <v>89.3262</v>
      </c>
      <c r="I112" s="11">
        <v>1.75</v>
      </c>
      <c r="J112" s="11">
        <v>1.901</v>
      </c>
      <c r="K112" s="11">
        <v>0.8</v>
      </c>
      <c r="L112" s="11">
        <v>1.75</v>
      </c>
    </row>
    <row r="113" spans="1:12" x14ac:dyDescent="0.3">
      <c r="A113" s="2">
        <v>44714</v>
      </c>
      <c r="B113" s="11">
        <v>4176.82</v>
      </c>
      <c r="C113" s="11">
        <v>12316.9</v>
      </c>
      <c r="D113" s="11">
        <v>86.418199999999999</v>
      </c>
      <c r="E113" s="11">
        <v>2658.99</v>
      </c>
      <c r="F113" s="11">
        <v>891.14</v>
      </c>
      <c r="G113" s="11">
        <v>72.391400000000004</v>
      </c>
      <c r="H113" s="11">
        <v>89.456800000000001</v>
      </c>
      <c r="I113" s="11">
        <v>1.75</v>
      </c>
      <c r="J113" s="11">
        <v>1.728</v>
      </c>
      <c r="K113" s="11">
        <v>0.79</v>
      </c>
      <c r="L113" s="11">
        <v>1.7090000000000001</v>
      </c>
    </row>
    <row r="114" spans="1:12" x14ac:dyDescent="0.3">
      <c r="A114" s="2">
        <v>44715</v>
      </c>
      <c r="B114" s="11">
        <v>4108.54</v>
      </c>
      <c r="C114" s="11">
        <v>12012.73</v>
      </c>
      <c r="D114" s="11">
        <v>84.982500000000002</v>
      </c>
      <c r="E114" s="11">
        <v>2670.65</v>
      </c>
      <c r="F114" s="11">
        <v>891.51</v>
      </c>
      <c r="G114" s="11">
        <v>72.365200000000002</v>
      </c>
      <c r="H114" s="11">
        <v>89.282700000000006</v>
      </c>
      <c r="I114" s="11">
        <v>1.75</v>
      </c>
      <c r="J114" s="11">
        <v>1.4850000000000001</v>
      </c>
      <c r="K114" s="11">
        <v>0.78</v>
      </c>
      <c r="L114" s="11">
        <v>1.6479999999999999</v>
      </c>
    </row>
    <row r="115" spans="1:12" x14ac:dyDescent="0.3">
      <c r="A115" s="2">
        <v>44718</v>
      </c>
      <c r="B115" s="11">
        <v>4121.43</v>
      </c>
      <c r="C115" s="11">
        <v>12061.37</v>
      </c>
      <c r="D115" s="11">
        <v>85.288200000000003</v>
      </c>
      <c r="E115" s="11">
        <v>2670.65</v>
      </c>
      <c r="F115" s="11">
        <v>891.51</v>
      </c>
      <c r="G115" s="11">
        <v>72.269499999999994</v>
      </c>
      <c r="H115" s="11">
        <v>88.612399999999994</v>
      </c>
      <c r="I115" s="11">
        <v>1.75</v>
      </c>
      <c r="J115" s="11">
        <v>1.4850000000000001</v>
      </c>
      <c r="K115" s="11">
        <v>0.78</v>
      </c>
      <c r="L115" s="11">
        <v>1.75</v>
      </c>
    </row>
    <row r="116" spans="1:12" x14ac:dyDescent="0.3">
      <c r="A116" s="2">
        <v>44719</v>
      </c>
      <c r="B116" s="11">
        <v>4160.68</v>
      </c>
      <c r="C116" s="11">
        <v>12175.23</v>
      </c>
      <c r="D116" s="11">
        <v>85.936499999999995</v>
      </c>
      <c r="E116" s="11">
        <v>2626.34</v>
      </c>
      <c r="F116" s="11">
        <v>873.78</v>
      </c>
      <c r="G116" s="11">
        <v>72.278199999999998</v>
      </c>
      <c r="H116" s="11">
        <v>88.969300000000004</v>
      </c>
      <c r="I116" s="11">
        <v>1.75</v>
      </c>
      <c r="J116" s="11">
        <v>1.5489999999999999</v>
      </c>
      <c r="K116" s="11">
        <v>0.77</v>
      </c>
      <c r="L116" s="11">
        <v>1.476</v>
      </c>
    </row>
    <row r="117" spans="1:12" x14ac:dyDescent="0.3">
      <c r="A117" s="2">
        <v>44720</v>
      </c>
      <c r="B117" s="11">
        <v>4115.7700000000004</v>
      </c>
      <c r="C117" s="11">
        <v>12086.27</v>
      </c>
      <c r="D117" s="11">
        <v>85.130700000000004</v>
      </c>
      <c r="E117" s="11">
        <v>2626.15</v>
      </c>
      <c r="F117" s="11">
        <v>874.95</v>
      </c>
      <c r="G117" s="11">
        <v>72.225999999999999</v>
      </c>
      <c r="H117" s="11">
        <v>88.638499999999993</v>
      </c>
      <c r="I117" s="11">
        <v>1.75</v>
      </c>
      <c r="J117" s="11">
        <v>1.5389999999999999</v>
      </c>
      <c r="K117" s="11">
        <v>0.76</v>
      </c>
      <c r="L117" s="11">
        <v>1.5580000000000001</v>
      </c>
    </row>
    <row r="118" spans="1:12" x14ac:dyDescent="0.3">
      <c r="A118" s="2">
        <v>44721</v>
      </c>
      <c r="B118" s="11">
        <v>4017.82</v>
      </c>
      <c r="C118" s="11">
        <v>11754.23</v>
      </c>
      <c r="D118" s="11">
        <v>83.145799999999994</v>
      </c>
      <c r="E118" s="11">
        <v>2625.44</v>
      </c>
      <c r="F118" s="11">
        <v>877.18</v>
      </c>
      <c r="G118" s="11">
        <v>72.173699999999997</v>
      </c>
      <c r="H118" s="11">
        <v>88.560100000000006</v>
      </c>
      <c r="I118" s="11">
        <v>1.75</v>
      </c>
      <c r="J118" s="11">
        <v>1.8680000000000001</v>
      </c>
      <c r="K118" s="11">
        <v>0.75</v>
      </c>
      <c r="L118" s="11">
        <v>1.7929999999999999</v>
      </c>
    </row>
    <row r="119" spans="1:12" x14ac:dyDescent="0.3">
      <c r="A119" s="2">
        <v>44722</v>
      </c>
      <c r="B119" s="11">
        <v>3900.86</v>
      </c>
      <c r="C119" s="11">
        <v>11340.02</v>
      </c>
      <c r="D119" s="11">
        <v>80.9863</v>
      </c>
      <c r="E119" s="11">
        <v>2595.87</v>
      </c>
      <c r="F119" s="11">
        <v>869.86</v>
      </c>
      <c r="G119" s="11">
        <v>71.869</v>
      </c>
      <c r="H119" s="11">
        <v>87.689599999999999</v>
      </c>
      <c r="I119" s="11">
        <v>1.75</v>
      </c>
      <c r="J119" s="11">
        <v>1.843</v>
      </c>
      <c r="K119" s="11">
        <v>0.75</v>
      </c>
      <c r="L119" s="11">
        <v>1.7470000000000001</v>
      </c>
    </row>
    <row r="120" spans="1:12" x14ac:dyDescent="0.3">
      <c r="A120" s="2">
        <v>44725</v>
      </c>
      <c r="B120" s="11">
        <v>3749.63</v>
      </c>
      <c r="C120" s="11">
        <v>10809.23</v>
      </c>
      <c r="D120" s="11">
        <v>77.985399999999998</v>
      </c>
      <c r="E120" s="11">
        <v>2504.5100000000002</v>
      </c>
      <c r="F120" s="11">
        <v>828.77</v>
      </c>
      <c r="G120" s="11">
        <v>71.503299999999996</v>
      </c>
      <c r="H120" s="11">
        <v>86.131299999999996</v>
      </c>
      <c r="I120" s="11">
        <v>1.75</v>
      </c>
      <c r="J120" s="11">
        <v>1.7749999999999999</v>
      </c>
      <c r="K120" s="11">
        <v>0.73</v>
      </c>
      <c r="L120" s="11">
        <v>1.7390000000000001</v>
      </c>
    </row>
    <row r="121" spans="1:12" x14ac:dyDescent="0.3">
      <c r="A121" s="2">
        <v>44726</v>
      </c>
      <c r="B121" s="11">
        <v>3735.48</v>
      </c>
      <c r="C121" s="11">
        <v>10828.35</v>
      </c>
      <c r="D121" s="11">
        <v>77.7517</v>
      </c>
      <c r="E121" s="11">
        <v>2492.9699999999998</v>
      </c>
      <c r="F121" s="11">
        <v>823.58</v>
      </c>
      <c r="G121" s="11">
        <v>71.364000000000004</v>
      </c>
      <c r="H121" s="11">
        <v>85.443600000000004</v>
      </c>
      <c r="I121" s="11">
        <v>1.75</v>
      </c>
      <c r="J121" s="11">
        <v>1.716</v>
      </c>
      <c r="K121" s="11">
        <v>0.69</v>
      </c>
      <c r="L121" s="11">
        <v>1.6919999999999999</v>
      </c>
    </row>
    <row r="122" spans="1:12" x14ac:dyDescent="0.3">
      <c r="A122" s="2">
        <v>44727</v>
      </c>
      <c r="B122" s="11">
        <v>3789.99</v>
      </c>
      <c r="C122" s="11">
        <v>11099.15</v>
      </c>
      <c r="D122" s="11">
        <v>78.938999999999993</v>
      </c>
      <c r="E122" s="11">
        <v>2447.38</v>
      </c>
      <c r="F122" s="11">
        <v>799.41</v>
      </c>
      <c r="G122" s="11">
        <v>71.642600000000002</v>
      </c>
      <c r="H122" s="11">
        <v>86.636200000000002</v>
      </c>
      <c r="I122" s="11">
        <v>1.75</v>
      </c>
      <c r="J122" s="11">
        <v>1.716</v>
      </c>
      <c r="K122" s="11">
        <v>0.7</v>
      </c>
      <c r="L122" s="11">
        <v>1.66</v>
      </c>
    </row>
    <row r="123" spans="1:12" x14ac:dyDescent="0.3">
      <c r="A123" s="2">
        <v>44728</v>
      </c>
      <c r="B123" s="11">
        <v>3666.77</v>
      </c>
      <c r="C123" s="11">
        <v>10646.1</v>
      </c>
      <c r="D123" s="11">
        <v>76.629900000000006</v>
      </c>
      <c r="E123" s="11">
        <v>2451.41</v>
      </c>
      <c r="F123" s="11">
        <v>802.15</v>
      </c>
      <c r="G123" s="11">
        <v>71.738399999999999</v>
      </c>
      <c r="H123" s="11">
        <v>87.202100000000002</v>
      </c>
      <c r="I123" s="11">
        <v>1.75</v>
      </c>
      <c r="J123" s="11">
        <v>1.7569999999999999</v>
      </c>
      <c r="K123" s="11">
        <v>1.45</v>
      </c>
      <c r="L123" s="11">
        <v>1.698</v>
      </c>
    </row>
    <row r="124" spans="1:12" x14ac:dyDescent="0.3">
      <c r="A124" s="2">
        <v>44729</v>
      </c>
      <c r="B124" s="11">
        <v>3674.84</v>
      </c>
      <c r="C124" s="11">
        <v>10798.35</v>
      </c>
      <c r="D124" s="11">
        <v>76.592500000000001</v>
      </c>
      <c r="E124" s="11">
        <v>2440.9299999999998</v>
      </c>
      <c r="F124" s="11">
        <v>798.69</v>
      </c>
      <c r="G124" s="11">
        <v>71.721000000000004</v>
      </c>
      <c r="H124" s="11">
        <v>87.228200000000001</v>
      </c>
      <c r="I124" s="11">
        <v>1.75</v>
      </c>
      <c r="J124" s="11">
        <v>1.7569999999999999</v>
      </c>
      <c r="K124" s="11">
        <v>1.45</v>
      </c>
      <c r="L124" s="11">
        <v>1.7330000000000001</v>
      </c>
    </row>
    <row r="125" spans="1:12" x14ac:dyDescent="0.3">
      <c r="A125" s="2">
        <v>44732</v>
      </c>
      <c r="B125" s="11">
        <v>3674.84</v>
      </c>
      <c r="C125" s="11">
        <v>10798.35</v>
      </c>
      <c r="D125" s="11">
        <v>76.592500000000001</v>
      </c>
      <c r="E125" s="11">
        <v>2391.0300000000002</v>
      </c>
      <c r="F125" s="11">
        <v>769.92</v>
      </c>
      <c r="G125" s="11">
        <v>71.721000000000004</v>
      </c>
      <c r="H125" s="11">
        <v>87.228200000000001</v>
      </c>
      <c r="I125" s="11">
        <v>1.75</v>
      </c>
      <c r="J125" s="11">
        <v>1.73</v>
      </c>
      <c r="K125" s="11">
        <v>1.45</v>
      </c>
      <c r="L125" s="11">
        <v>1.718</v>
      </c>
    </row>
    <row r="126" spans="1:12" x14ac:dyDescent="0.3">
      <c r="A126" s="2">
        <v>44733</v>
      </c>
      <c r="B126" s="11">
        <v>3764.79</v>
      </c>
      <c r="C126" s="11">
        <v>11069.3</v>
      </c>
      <c r="D126" s="11">
        <v>78.303299999999993</v>
      </c>
      <c r="E126" s="11">
        <v>2408.9299999999998</v>
      </c>
      <c r="F126" s="11">
        <v>778.3</v>
      </c>
      <c r="G126" s="11">
        <v>71.694900000000004</v>
      </c>
      <c r="H126" s="11">
        <v>86.775499999999994</v>
      </c>
      <c r="I126" s="11">
        <v>1.75</v>
      </c>
      <c r="J126" s="11">
        <v>1.718</v>
      </c>
      <c r="K126" s="11">
        <v>1.45</v>
      </c>
      <c r="L126" s="11">
        <v>1.7150000000000001</v>
      </c>
    </row>
    <row r="127" spans="1:12" x14ac:dyDescent="0.3">
      <c r="A127" s="2">
        <v>44734</v>
      </c>
      <c r="B127" s="11">
        <v>3759.89</v>
      </c>
      <c r="C127" s="11">
        <v>11053.08</v>
      </c>
      <c r="D127" s="11">
        <v>77.854500000000002</v>
      </c>
      <c r="E127" s="11">
        <v>2342.81</v>
      </c>
      <c r="F127" s="11">
        <v>746.96</v>
      </c>
      <c r="G127" s="11">
        <v>71.903800000000004</v>
      </c>
      <c r="H127" s="11">
        <v>87.872399999999999</v>
      </c>
      <c r="I127" s="11">
        <v>1.75</v>
      </c>
      <c r="J127" s="11">
        <v>1.7230000000000001</v>
      </c>
      <c r="K127" s="11">
        <v>1.45</v>
      </c>
      <c r="L127" s="11">
        <v>1.7170000000000001</v>
      </c>
    </row>
    <row r="128" spans="1:12" x14ac:dyDescent="0.3">
      <c r="A128" s="2">
        <v>44735</v>
      </c>
      <c r="B128" s="11">
        <v>3795.73</v>
      </c>
      <c r="C128" s="11">
        <v>11232.19</v>
      </c>
      <c r="D128" s="11">
        <v>78.303299999999993</v>
      </c>
      <c r="E128" s="11">
        <v>2314.3200000000002</v>
      </c>
      <c r="F128" s="11">
        <v>714.38</v>
      </c>
      <c r="G128" s="11">
        <v>71.964799999999997</v>
      </c>
      <c r="H128" s="11">
        <v>88.368600000000001</v>
      </c>
      <c r="I128" s="11">
        <v>1.75</v>
      </c>
      <c r="J128" s="11">
        <v>1.738</v>
      </c>
      <c r="K128" s="11">
        <v>1.44</v>
      </c>
      <c r="L128" s="11">
        <v>1.754</v>
      </c>
    </row>
    <row r="129" spans="1:12" x14ac:dyDescent="0.3">
      <c r="A129" s="2">
        <v>44736</v>
      </c>
      <c r="B129" s="11">
        <v>3911.74</v>
      </c>
      <c r="C129" s="11">
        <v>11607.62</v>
      </c>
      <c r="D129" s="11">
        <v>80.687100000000001</v>
      </c>
      <c r="E129" s="11">
        <v>2366.6</v>
      </c>
      <c r="F129" s="11">
        <v>750.3</v>
      </c>
      <c r="G129" s="11">
        <v>71.947400000000002</v>
      </c>
      <c r="H129" s="11">
        <v>88.055199999999999</v>
      </c>
      <c r="I129" s="11">
        <v>1.75</v>
      </c>
      <c r="J129" s="11">
        <v>1.863</v>
      </c>
      <c r="K129" s="11">
        <v>1.46</v>
      </c>
      <c r="L129" s="11">
        <v>1.8420000000000001</v>
      </c>
    </row>
    <row r="130" spans="1:12" x14ac:dyDescent="0.3">
      <c r="A130" s="2">
        <v>44739</v>
      </c>
      <c r="B130" s="11">
        <v>3900.11</v>
      </c>
      <c r="C130" s="11">
        <v>11524.55</v>
      </c>
      <c r="D130" s="11">
        <v>80.453400000000002</v>
      </c>
      <c r="E130" s="11">
        <v>2401.92</v>
      </c>
      <c r="F130" s="11">
        <v>770.6</v>
      </c>
      <c r="G130" s="11">
        <v>71.869</v>
      </c>
      <c r="H130" s="11">
        <v>87.558999999999997</v>
      </c>
      <c r="I130" s="11">
        <v>1.75</v>
      </c>
      <c r="J130" s="11">
        <v>1.8879999999999999</v>
      </c>
      <c r="K130" s="11">
        <v>1.5</v>
      </c>
      <c r="L130" s="11">
        <v>1.825</v>
      </c>
    </row>
    <row r="131" spans="1:12" x14ac:dyDescent="0.3">
      <c r="A131" s="2">
        <v>44740</v>
      </c>
      <c r="B131" s="11">
        <v>3821.55</v>
      </c>
      <c r="C131" s="11">
        <v>11181.54</v>
      </c>
      <c r="D131" s="11">
        <v>79.266199999999998</v>
      </c>
      <c r="E131" s="11">
        <v>2422.09</v>
      </c>
      <c r="F131" s="11">
        <v>769.51</v>
      </c>
      <c r="G131" s="11">
        <v>71.851600000000005</v>
      </c>
      <c r="H131" s="11">
        <v>87.672200000000004</v>
      </c>
      <c r="I131" s="11">
        <v>1.75</v>
      </c>
      <c r="J131" s="11">
        <v>1.885</v>
      </c>
      <c r="K131" s="11">
        <v>1.52</v>
      </c>
      <c r="L131" s="11">
        <v>1.8280000000000001</v>
      </c>
    </row>
    <row r="132" spans="1:12" x14ac:dyDescent="0.3">
      <c r="A132" s="2">
        <v>44741</v>
      </c>
      <c r="B132" s="11">
        <v>3818.83</v>
      </c>
      <c r="C132" s="11">
        <v>11177.89</v>
      </c>
      <c r="D132" s="11">
        <v>79.051100000000005</v>
      </c>
      <c r="E132" s="11">
        <v>2377.9899999999998</v>
      </c>
      <c r="F132" s="11">
        <v>762.35</v>
      </c>
      <c r="G132" s="11">
        <v>71.938599999999994</v>
      </c>
      <c r="H132" s="11">
        <v>88.377300000000005</v>
      </c>
      <c r="I132" s="11">
        <v>1.75</v>
      </c>
      <c r="J132" s="11">
        <v>1.883</v>
      </c>
      <c r="K132" s="11">
        <v>1.51</v>
      </c>
      <c r="L132" s="11">
        <v>1.8080000000000001</v>
      </c>
    </row>
    <row r="133" spans="1:12" x14ac:dyDescent="0.3">
      <c r="A133" s="2">
        <v>44742</v>
      </c>
      <c r="B133" s="11">
        <v>3785.38</v>
      </c>
      <c r="C133" s="11">
        <v>11028.74</v>
      </c>
      <c r="D133" s="11">
        <v>78.424800000000005</v>
      </c>
      <c r="E133" s="11">
        <v>2332.64</v>
      </c>
      <c r="F133" s="11">
        <v>745.44</v>
      </c>
      <c r="G133" s="11">
        <v>72.0779</v>
      </c>
      <c r="H133" s="11">
        <v>89.056299999999993</v>
      </c>
      <c r="I133" s="11">
        <v>1.75</v>
      </c>
      <c r="J133" s="11">
        <v>2.72</v>
      </c>
      <c r="K133" s="11">
        <v>1.5</v>
      </c>
      <c r="L133" s="11">
        <v>2.3370000000000002</v>
      </c>
    </row>
    <row r="134" spans="1:12" x14ac:dyDescent="0.3">
      <c r="A134" s="2">
        <v>44743</v>
      </c>
      <c r="B134" s="11">
        <v>3825.33</v>
      </c>
      <c r="C134" s="11">
        <v>11127.84</v>
      </c>
      <c r="D134" s="11">
        <v>78.976299999999995</v>
      </c>
      <c r="E134" s="11">
        <v>2305.42</v>
      </c>
      <c r="F134" s="11">
        <v>729.48</v>
      </c>
      <c r="G134" s="11">
        <v>72.294899999999998</v>
      </c>
      <c r="H134" s="11">
        <v>90.011399999999995</v>
      </c>
      <c r="I134" s="11">
        <v>1.75</v>
      </c>
      <c r="J134" s="11">
        <v>1.7270000000000001</v>
      </c>
      <c r="K134" s="11">
        <v>1.52</v>
      </c>
      <c r="L134" s="11">
        <v>1.7230000000000001</v>
      </c>
    </row>
    <row r="135" spans="1:12" x14ac:dyDescent="0.3">
      <c r="A135" s="2">
        <v>44746</v>
      </c>
      <c r="B135" s="11">
        <v>3825.33</v>
      </c>
      <c r="C135" s="11">
        <v>11127.84</v>
      </c>
      <c r="D135" s="11">
        <v>78.976299999999995</v>
      </c>
      <c r="E135" s="11">
        <v>2300.34</v>
      </c>
      <c r="F135" s="11">
        <v>722.73</v>
      </c>
      <c r="G135" s="11">
        <v>72.294899999999998</v>
      </c>
      <c r="H135" s="11">
        <v>90.011399999999995</v>
      </c>
      <c r="I135" s="11">
        <v>1.75</v>
      </c>
      <c r="J135" s="11">
        <v>1.484</v>
      </c>
      <c r="K135" s="11">
        <v>1.52</v>
      </c>
      <c r="L135" s="11">
        <v>1.66</v>
      </c>
    </row>
    <row r="136" spans="1:12" x14ac:dyDescent="0.3">
      <c r="A136" s="2">
        <v>44747</v>
      </c>
      <c r="B136" s="11">
        <v>3831.39</v>
      </c>
      <c r="C136" s="11">
        <v>11322.24</v>
      </c>
      <c r="D136" s="11">
        <v>78.574399999999997</v>
      </c>
      <c r="E136" s="11">
        <v>2341.7800000000002</v>
      </c>
      <c r="F136" s="11">
        <v>750.95</v>
      </c>
      <c r="G136" s="11">
        <v>72.286199999999994</v>
      </c>
      <c r="H136" s="11">
        <v>90.342699999999994</v>
      </c>
      <c r="I136" s="11">
        <v>1.75</v>
      </c>
      <c r="J136" s="11">
        <v>1.7869999999999999</v>
      </c>
      <c r="K136" s="11">
        <v>1.54</v>
      </c>
      <c r="L136" s="11">
        <v>1.6819999999999999</v>
      </c>
    </row>
    <row r="137" spans="1:12" x14ac:dyDescent="0.3">
      <c r="A137" s="2">
        <v>44748</v>
      </c>
      <c r="B137" s="11">
        <v>3845.08</v>
      </c>
      <c r="C137" s="11">
        <v>11361.85</v>
      </c>
      <c r="D137" s="11">
        <v>78.686499999999995</v>
      </c>
      <c r="E137" s="11">
        <v>2292.0100000000002</v>
      </c>
      <c r="F137" s="11">
        <v>744.63</v>
      </c>
      <c r="G137" s="11">
        <v>72.085800000000006</v>
      </c>
      <c r="H137" s="11">
        <v>89.575400000000002</v>
      </c>
      <c r="I137" s="11">
        <v>1.75</v>
      </c>
      <c r="J137" s="11">
        <v>1.7869999999999999</v>
      </c>
      <c r="K137" s="11">
        <v>1.54</v>
      </c>
      <c r="L137" s="11">
        <v>1.7370000000000001</v>
      </c>
    </row>
    <row r="138" spans="1:12" x14ac:dyDescent="0.3">
      <c r="A138" s="2">
        <v>44749</v>
      </c>
      <c r="B138" s="11">
        <v>3902.62</v>
      </c>
      <c r="C138" s="11">
        <v>11621.35</v>
      </c>
      <c r="D138" s="11">
        <v>79.9392</v>
      </c>
      <c r="E138" s="11">
        <v>2334.27</v>
      </c>
      <c r="F138" s="11">
        <v>757.97</v>
      </c>
      <c r="G138" s="11">
        <v>72.033500000000004</v>
      </c>
      <c r="H138" s="11">
        <v>89.026200000000003</v>
      </c>
      <c r="I138" s="11">
        <v>1.75</v>
      </c>
      <c r="J138" s="11">
        <v>1.7070000000000001</v>
      </c>
      <c r="K138" s="11">
        <v>1.54</v>
      </c>
      <c r="L138" s="11">
        <v>1.7410000000000001</v>
      </c>
    </row>
    <row r="139" spans="1:12" x14ac:dyDescent="0.3">
      <c r="A139" s="2">
        <v>44750</v>
      </c>
      <c r="B139" s="11">
        <v>3899.38</v>
      </c>
      <c r="C139" s="11">
        <v>11635.31</v>
      </c>
      <c r="D139" s="11">
        <v>79.883200000000002</v>
      </c>
      <c r="E139" s="11">
        <v>2350.61</v>
      </c>
      <c r="F139" s="11">
        <v>766.48</v>
      </c>
      <c r="G139" s="11">
        <v>71.946299999999994</v>
      </c>
      <c r="H139" s="11">
        <v>88.485600000000005</v>
      </c>
      <c r="I139" s="11">
        <v>1.75</v>
      </c>
      <c r="J139" s="11">
        <v>1.6839999999999999</v>
      </c>
      <c r="K139" s="11">
        <v>1.53</v>
      </c>
      <c r="L139" s="11">
        <v>1.732</v>
      </c>
    </row>
    <row r="140" spans="1:12" x14ac:dyDescent="0.3">
      <c r="A140" s="2">
        <v>44753</v>
      </c>
      <c r="B140" s="11">
        <v>3854.43</v>
      </c>
      <c r="C140" s="11">
        <v>11372.6</v>
      </c>
      <c r="D140" s="11">
        <v>78.751999999999995</v>
      </c>
      <c r="E140" s="11">
        <v>2340.27</v>
      </c>
      <c r="F140" s="11">
        <v>767.04</v>
      </c>
      <c r="G140" s="11">
        <v>71.972499999999997</v>
      </c>
      <c r="H140" s="11">
        <v>89.183099999999996</v>
      </c>
      <c r="I140" s="11">
        <v>1.75</v>
      </c>
      <c r="J140" s="11">
        <v>1.8440000000000001</v>
      </c>
      <c r="K140" s="11">
        <v>1.53</v>
      </c>
      <c r="L140" s="11">
        <v>1.82</v>
      </c>
    </row>
    <row r="141" spans="1:12" x14ac:dyDescent="0.3">
      <c r="A141" s="2">
        <v>44754</v>
      </c>
      <c r="B141" s="11">
        <v>3818.8</v>
      </c>
      <c r="C141" s="11">
        <v>11264.73</v>
      </c>
      <c r="D141" s="11">
        <v>78.265900000000002</v>
      </c>
      <c r="E141" s="11">
        <v>2317.7600000000002</v>
      </c>
      <c r="F141" s="11">
        <v>750.78</v>
      </c>
      <c r="G141" s="11">
        <v>72.007300000000001</v>
      </c>
      <c r="H141" s="11">
        <v>89.392399999999995</v>
      </c>
      <c r="I141" s="11">
        <v>1.75</v>
      </c>
      <c r="J141" s="11">
        <v>1.8839999999999999</v>
      </c>
      <c r="K141" s="11">
        <v>1.54</v>
      </c>
      <c r="L141" s="11">
        <v>1.8320000000000001</v>
      </c>
    </row>
    <row r="142" spans="1:12" x14ac:dyDescent="0.3">
      <c r="A142" s="2">
        <v>44755</v>
      </c>
      <c r="B142" s="11">
        <v>3801.78</v>
      </c>
      <c r="C142" s="11">
        <v>11247.58</v>
      </c>
      <c r="D142" s="11">
        <v>77.947999999999993</v>
      </c>
      <c r="E142" s="11">
        <v>2328.61</v>
      </c>
      <c r="F142" s="11">
        <v>763.18</v>
      </c>
      <c r="G142" s="11">
        <v>71.928899999999999</v>
      </c>
      <c r="H142" s="11">
        <v>89.775999999999996</v>
      </c>
      <c r="I142" s="11">
        <v>2.25</v>
      </c>
      <c r="J142" s="11">
        <v>2.1640000000000001</v>
      </c>
      <c r="K142" s="11">
        <v>1.53</v>
      </c>
      <c r="L142" s="11">
        <v>2.0409999999999999</v>
      </c>
    </row>
    <row r="143" spans="1:12" x14ac:dyDescent="0.3">
      <c r="A143" s="2">
        <v>44756</v>
      </c>
      <c r="B143" s="11">
        <v>3790.38</v>
      </c>
      <c r="C143" s="11">
        <v>11251.19</v>
      </c>
      <c r="D143" s="11">
        <v>77.415099999999995</v>
      </c>
      <c r="E143" s="11">
        <v>2322.3200000000002</v>
      </c>
      <c r="F143" s="11">
        <v>766.08</v>
      </c>
      <c r="G143" s="11">
        <v>71.902799999999999</v>
      </c>
      <c r="H143" s="11">
        <v>89.278999999999996</v>
      </c>
      <c r="I143" s="11">
        <v>2.25</v>
      </c>
      <c r="J143" s="11">
        <v>2.1760000000000002</v>
      </c>
      <c r="K143" s="11">
        <v>1.53</v>
      </c>
      <c r="L143" s="11">
        <v>2.1960000000000002</v>
      </c>
    </row>
    <row r="144" spans="1:12" x14ac:dyDescent="0.3">
      <c r="A144" s="2">
        <v>44757</v>
      </c>
      <c r="B144" s="11">
        <v>3863.16</v>
      </c>
      <c r="C144" s="11">
        <v>11452.42</v>
      </c>
      <c r="D144" s="11">
        <v>78.7333</v>
      </c>
      <c r="E144" s="11">
        <v>2330.98</v>
      </c>
      <c r="F144" s="11">
        <v>762.39</v>
      </c>
      <c r="G144" s="11">
        <v>71.955100000000002</v>
      </c>
      <c r="H144" s="11">
        <v>89.584199999999996</v>
      </c>
      <c r="I144" s="11">
        <v>2.25</v>
      </c>
      <c r="J144" s="11">
        <v>2.13</v>
      </c>
      <c r="K144" s="11">
        <v>1.54</v>
      </c>
      <c r="L144" s="11">
        <v>2.177</v>
      </c>
    </row>
    <row r="145" spans="1:12" x14ac:dyDescent="0.3">
      <c r="A145" s="2">
        <v>44760</v>
      </c>
      <c r="B145" s="11">
        <v>3830.85</v>
      </c>
      <c r="C145" s="11">
        <v>11360.05</v>
      </c>
      <c r="D145" s="11">
        <v>78.518299999999996</v>
      </c>
      <c r="E145" s="11">
        <v>2375.25</v>
      </c>
      <c r="F145" s="11">
        <v>776.72</v>
      </c>
      <c r="G145" s="11">
        <v>71.911500000000004</v>
      </c>
      <c r="H145" s="11">
        <v>89.322599999999994</v>
      </c>
      <c r="I145" s="11">
        <v>2.25</v>
      </c>
      <c r="J145" s="11">
        <v>2.1379999999999999</v>
      </c>
      <c r="K145" s="11">
        <v>1.54</v>
      </c>
      <c r="L145" s="11">
        <v>2.1709999999999998</v>
      </c>
    </row>
    <row r="146" spans="1:12" x14ac:dyDescent="0.3">
      <c r="A146" s="2">
        <v>44761</v>
      </c>
      <c r="B146" s="11">
        <v>3936.69</v>
      </c>
      <c r="C146" s="11">
        <v>11713.15</v>
      </c>
      <c r="D146" s="11">
        <v>80.509500000000003</v>
      </c>
      <c r="E146" s="11">
        <v>2370.9699999999998</v>
      </c>
      <c r="F146" s="11">
        <v>782.33</v>
      </c>
      <c r="G146" s="11">
        <v>71.833100000000002</v>
      </c>
      <c r="H146" s="11">
        <v>88.912800000000004</v>
      </c>
      <c r="I146" s="11">
        <v>2.25</v>
      </c>
      <c r="J146" s="11">
        <v>2.1850000000000001</v>
      </c>
      <c r="K146" s="11">
        <v>1.54</v>
      </c>
      <c r="L146" s="11">
        <v>2.1960000000000002</v>
      </c>
    </row>
    <row r="147" spans="1:12" x14ac:dyDescent="0.3">
      <c r="A147" s="2">
        <v>44762</v>
      </c>
      <c r="B147" s="11">
        <v>3959.9</v>
      </c>
      <c r="C147" s="11">
        <v>11897.65</v>
      </c>
      <c r="D147" s="11">
        <v>80.761899999999997</v>
      </c>
      <c r="E147" s="11">
        <v>2386.85</v>
      </c>
      <c r="F147" s="11">
        <v>790.72</v>
      </c>
      <c r="G147" s="11">
        <v>71.824299999999994</v>
      </c>
      <c r="H147" s="11">
        <v>88.825599999999994</v>
      </c>
      <c r="I147" s="11">
        <v>2.25</v>
      </c>
      <c r="J147" s="11">
        <v>2.14</v>
      </c>
      <c r="K147" s="11">
        <v>1.53</v>
      </c>
      <c r="L147" s="11">
        <v>2.173</v>
      </c>
    </row>
    <row r="148" spans="1:12" x14ac:dyDescent="0.3">
      <c r="A148" s="2">
        <v>44763</v>
      </c>
      <c r="B148" s="11">
        <v>3998.95</v>
      </c>
      <c r="C148" s="11">
        <v>12059.61</v>
      </c>
      <c r="D148" s="11">
        <v>81.584599999999995</v>
      </c>
      <c r="E148" s="11">
        <v>2409.16</v>
      </c>
      <c r="F148" s="11">
        <v>795.15</v>
      </c>
      <c r="G148" s="11">
        <v>72.024799999999999</v>
      </c>
      <c r="H148" s="11">
        <v>89.837000000000003</v>
      </c>
      <c r="I148" s="11">
        <v>2.25</v>
      </c>
      <c r="J148" s="11">
        <v>2.27</v>
      </c>
      <c r="K148" s="11">
        <v>1.53</v>
      </c>
      <c r="L148" s="11">
        <v>2.206</v>
      </c>
    </row>
    <row r="149" spans="1:12" x14ac:dyDescent="0.3">
      <c r="A149" s="2">
        <v>44764</v>
      </c>
      <c r="B149" s="11">
        <v>3961.63</v>
      </c>
      <c r="C149" s="11">
        <v>11834.11</v>
      </c>
      <c r="D149" s="11">
        <v>80.892799999999994</v>
      </c>
      <c r="E149" s="11">
        <v>2393.14</v>
      </c>
      <c r="F149" s="11">
        <v>789.75</v>
      </c>
      <c r="G149" s="11">
        <v>72.207800000000006</v>
      </c>
      <c r="H149" s="11">
        <v>90.865799999999993</v>
      </c>
      <c r="I149" s="11">
        <v>2.25</v>
      </c>
      <c r="J149" s="11">
        <v>2.2280000000000002</v>
      </c>
      <c r="K149" s="11">
        <v>1.52</v>
      </c>
      <c r="L149" s="11">
        <v>2.1880000000000002</v>
      </c>
    </row>
    <row r="150" spans="1:12" x14ac:dyDescent="0.3">
      <c r="A150" s="2">
        <v>44767</v>
      </c>
      <c r="B150" s="11">
        <v>3966.84</v>
      </c>
      <c r="C150" s="11">
        <v>11782.67</v>
      </c>
      <c r="D150" s="11">
        <v>81.145200000000003</v>
      </c>
      <c r="E150" s="11">
        <v>2403.69</v>
      </c>
      <c r="F150" s="11">
        <v>789.69</v>
      </c>
      <c r="G150" s="11">
        <v>72.146799999999999</v>
      </c>
      <c r="H150" s="11">
        <v>90.543199999999999</v>
      </c>
      <c r="I150" s="11">
        <v>2.25</v>
      </c>
      <c r="J150" s="11">
        <v>2.2549999999999999</v>
      </c>
      <c r="K150" s="11">
        <v>1.53</v>
      </c>
      <c r="L150" s="11">
        <v>2.1829999999999998</v>
      </c>
    </row>
    <row r="151" spans="1:12" x14ac:dyDescent="0.3">
      <c r="A151" s="2">
        <v>44768</v>
      </c>
      <c r="B151" s="11">
        <v>3921.05</v>
      </c>
      <c r="C151" s="11">
        <v>11562.57</v>
      </c>
      <c r="D151" s="11">
        <v>80.163600000000002</v>
      </c>
      <c r="E151" s="11">
        <v>2412.96</v>
      </c>
      <c r="F151" s="11">
        <v>789.93</v>
      </c>
      <c r="G151" s="11">
        <v>72.111900000000006</v>
      </c>
      <c r="H151" s="11">
        <v>90.578100000000006</v>
      </c>
      <c r="I151" s="11">
        <v>2.25</v>
      </c>
      <c r="J151" s="11">
        <v>2.2370000000000001</v>
      </c>
      <c r="K151" s="11">
        <v>1.53</v>
      </c>
      <c r="L151" s="11">
        <v>2.2240000000000002</v>
      </c>
    </row>
    <row r="152" spans="1:12" x14ac:dyDescent="0.3">
      <c r="A152" s="2">
        <v>44769</v>
      </c>
      <c r="B152" s="11">
        <v>4023.61</v>
      </c>
      <c r="C152" s="11">
        <v>12032.42</v>
      </c>
      <c r="D152" s="11">
        <v>82.126800000000003</v>
      </c>
      <c r="E152" s="11">
        <v>2415.5300000000002</v>
      </c>
      <c r="F152" s="11">
        <v>795.7</v>
      </c>
      <c r="G152" s="11">
        <v>72.225200000000001</v>
      </c>
      <c r="H152" s="11">
        <v>90.761200000000002</v>
      </c>
      <c r="I152" s="11">
        <v>2.25</v>
      </c>
      <c r="J152" s="11">
        <v>2.1379999999999999</v>
      </c>
      <c r="K152" s="11">
        <v>1.53</v>
      </c>
      <c r="L152" s="11">
        <v>2.1139999999999999</v>
      </c>
    </row>
    <row r="153" spans="1:12" x14ac:dyDescent="0.3">
      <c r="A153" s="2">
        <v>44770</v>
      </c>
      <c r="B153" s="11">
        <v>4072.43</v>
      </c>
      <c r="C153" s="11">
        <v>12162.59</v>
      </c>
      <c r="D153" s="11">
        <v>82.912099999999995</v>
      </c>
      <c r="E153" s="11">
        <v>2435.27</v>
      </c>
      <c r="F153" s="11">
        <v>798.32</v>
      </c>
      <c r="G153" s="11">
        <v>72.382099999999994</v>
      </c>
      <c r="H153" s="11">
        <v>91.659199999999998</v>
      </c>
      <c r="I153" s="11">
        <v>2.25</v>
      </c>
      <c r="J153" s="11">
        <v>2.1190000000000002</v>
      </c>
      <c r="K153" s="11">
        <v>2.2799999999999998</v>
      </c>
      <c r="L153" s="11">
        <v>2.1429999999999998</v>
      </c>
    </row>
    <row r="154" spans="1:12" x14ac:dyDescent="0.3">
      <c r="A154" s="2">
        <v>44771</v>
      </c>
      <c r="B154" s="11">
        <v>4130.29</v>
      </c>
      <c r="C154" s="11">
        <v>12390.69</v>
      </c>
      <c r="D154" s="11">
        <v>83.968500000000006</v>
      </c>
      <c r="E154" s="11">
        <v>2451.5</v>
      </c>
      <c r="F154" s="11">
        <v>803.62</v>
      </c>
      <c r="G154" s="11">
        <v>72.373400000000004</v>
      </c>
      <c r="H154" s="11">
        <v>91.694100000000006</v>
      </c>
      <c r="I154" s="11">
        <v>2.25</v>
      </c>
      <c r="J154" s="11">
        <v>2.3679999999999999</v>
      </c>
      <c r="K154" s="11">
        <v>2.27</v>
      </c>
      <c r="L154" s="11">
        <v>2.3410000000000002</v>
      </c>
    </row>
    <row r="155" spans="1:12" x14ac:dyDescent="0.3">
      <c r="A155" s="2">
        <v>44774</v>
      </c>
      <c r="B155" s="11">
        <v>4118.63</v>
      </c>
      <c r="C155" s="11">
        <v>12368.98</v>
      </c>
      <c r="D155" s="11">
        <v>83.697400000000002</v>
      </c>
      <c r="E155" s="11">
        <v>2452.25</v>
      </c>
      <c r="F155" s="11">
        <v>807.61</v>
      </c>
      <c r="G155" s="11">
        <v>72.371899999999997</v>
      </c>
      <c r="H155" s="11">
        <v>92.230400000000003</v>
      </c>
      <c r="I155" s="11">
        <v>2.25</v>
      </c>
      <c r="J155" s="11">
        <v>2.298</v>
      </c>
      <c r="K155" s="11">
        <v>2.2799999999999998</v>
      </c>
      <c r="L155" s="11">
        <v>2.238</v>
      </c>
    </row>
    <row r="156" spans="1:12" x14ac:dyDescent="0.3">
      <c r="A156" s="2">
        <v>44775</v>
      </c>
      <c r="B156" s="11">
        <v>4091.19</v>
      </c>
      <c r="C156" s="11">
        <v>12348.76</v>
      </c>
      <c r="D156" s="11">
        <v>83.043000000000006</v>
      </c>
      <c r="E156" s="11">
        <v>2439.62</v>
      </c>
      <c r="F156" s="11">
        <v>804.34</v>
      </c>
      <c r="G156" s="11">
        <v>72.118899999999996</v>
      </c>
      <c r="H156" s="11">
        <v>90.955200000000005</v>
      </c>
      <c r="I156" s="11">
        <v>2.25</v>
      </c>
      <c r="J156" s="11">
        <v>2.226</v>
      </c>
      <c r="K156" s="11">
        <v>2.2999999999999998</v>
      </c>
      <c r="L156" s="11">
        <v>2.19</v>
      </c>
    </row>
    <row r="157" spans="1:12" x14ac:dyDescent="0.3">
      <c r="A157" s="2">
        <v>44776</v>
      </c>
      <c r="B157" s="11">
        <v>4155.17</v>
      </c>
      <c r="C157" s="11">
        <v>12668.16</v>
      </c>
      <c r="D157" s="11">
        <v>84.108699999999999</v>
      </c>
      <c r="E157" s="11">
        <v>2461.4499999999998</v>
      </c>
      <c r="F157" s="11">
        <v>815.36</v>
      </c>
      <c r="G157" s="11">
        <v>72.144999999999996</v>
      </c>
      <c r="H157" s="11">
        <v>91.330799999999996</v>
      </c>
      <c r="I157" s="11">
        <v>2.25</v>
      </c>
      <c r="J157" s="11">
        <v>2.1749999999999998</v>
      </c>
      <c r="K157" s="11">
        <v>2.29</v>
      </c>
      <c r="L157" s="11">
        <v>2.1619999999999999</v>
      </c>
    </row>
    <row r="158" spans="1:12" x14ac:dyDescent="0.3">
      <c r="A158" s="2">
        <v>44777</v>
      </c>
      <c r="B158" s="11">
        <v>4151.9399999999996</v>
      </c>
      <c r="C158" s="11">
        <v>12720.58</v>
      </c>
      <c r="D158" s="11">
        <v>84.239599999999996</v>
      </c>
      <c r="E158" s="11">
        <v>2473.11</v>
      </c>
      <c r="F158" s="11">
        <v>825.16</v>
      </c>
      <c r="G158" s="11">
        <v>72.241</v>
      </c>
      <c r="H158" s="11">
        <v>91.793700000000001</v>
      </c>
      <c r="I158" s="11">
        <v>2.25</v>
      </c>
      <c r="J158" s="11">
        <v>2.16</v>
      </c>
      <c r="K158" s="11">
        <v>2.29</v>
      </c>
      <c r="L158" s="11">
        <v>2.2210000000000001</v>
      </c>
    </row>
    <row r="159" spans="1:12" x14ac:dyDescent="0.3">
      <c r="A159" s="2">
        <v>44778</v>
      </c>
      <c r="B159" s="11">
        <v>4145.1899999999996</v>
      </c>
      <c r="C159" s="11">
        <v>12657.55</v>
      </c>
      <c r="D159" s="11">
        <v>83.977800000000002</v>
      </c>
      <c r="E159" s="11">
        <v>2490.8000000000002</v>
      </c>
      <c r="F159" s="11">
        <v>831.64</v>
      </c>
      <c r="G159" s="11">
        <v>71.944400000000002</v>
      </c>
      <c r="H159" s="11">
        <v>90.466099999999997</v>
      </c>
      <c r="I159" s="11">
        <v>2.25</v>
      </c>
      <c r="J159" s="11">
        <v>2.1829999999999998</v>
      </c>
      <c r="K159" s="11">
        <v>2.2799999999999998</v>
      </c>
      <c r="L159" s="11">
        <v>2.242</v>
      </c>
    </row>
    <row r="160" spans="1:12" x14ac:dyDescent="0.3">
      <c r="A160" s="2">
        <v>44781</v>
      </c>
      <c r="B160" s="11">
        <v>4140.0600000000004</v>
      </c>
      <c r="C160" s="11">
        <v>12644.46</v>
      </c>
      <c r="D160" s="11">
        <v>84.015199999999993</v>
      </c>
      <c r="E160" s="11">
        <v>2493.1</v>
      </c>
      <c r="F160" s="11">
        <v>830.86</v>
      </c>
      <c r="G160" s="11">
        <v>72.014200000000002</v>
      </c>
      <c r="H160" s="11">
        <v>90.998900000000006</v>
      </c>
      <c r="I160" s="11">
        <v>2.25</v>
      </c>
      <c r="J160" s="11">
        <v>2.238</v>
      </c>
      <c r="K160" s="11">
        <v>2.2799999999999998</v>
      </c>
      <c r="L160" s="11">
        <v>2.226</v>
      </c>
    </row>
    <row r="161" spans="1:12" x14ac:dyDescent="0.3">
      <c r="A161" s="2">
        <v>44782</v>
      </c>
      <c r="B161" s="11">
        <v>4122.47</v>
      </c>
      <c r="C161" s="11">
        <v>12493.93</v>
      </c>
      <c r="D161" s="11">
        <v>83.613200000000006</v>
      </c>
      <c r="E161" s="11">
        <v>2503.46</v>
      </c>
      <c r="F161" s="11">
        <v>833.65</v>
      </c>
      <c r="G161" s="11">
        <v>71.944400000000002</v>
      </c>
      <c r="H161" s="11">
        <v>90.728099999999998</v>
      </c>
      <c r="I161" s="11">
        <v>2.25</v>
      </c>
      <c r="J161" s="11">
        <v>2.2530000000000001</v>
      </c>
      <c r="K161" s="11">
        <v>2.29</v>
      </c>
      <c r="L161" s="11">
        <v>2.2429999999999999</v>
      </c>
    </row>
    <row r="162" spans="1:12" x14ac:dyDescent="0.3">
      <c r="A162" s="2">
        <v>44783</v>
      </c>
      <c r="B162" s="11">
        <v>4210.24</v>
      </c>
      <c r="C162" s="11">
        <v>12854.8</v>
      </c>
      <c r="D162" s="11">
        <v>85.361400000000003</v>
      </c>
      <c r="E162" s="11">
        <v>2480.88</v>
      </c>
      <c r="F162" s="11">
        <v>820.27</v>
      </c>
      <c r="G162" s="11">
        <v>72.014200000000002</v>
      </c>
      <c r="H162" s="11">
        <v>90.780500000000004</v>
      </c>
      <c r="I162" s="11">
        <v>2.25</v>
      </c>
      <c r="J162" s="11">
        <v>2.2519999999999998</v>
      </c>
      <c r="K162" s="11">
        <v>2.2799999999999998</v>
      </c>
      <c r="L162" s="11">
        <v>2.2170000000000001</v>
      </c>
    </row>
    <row r="163" spans="1:12" x14ac:dyDescent="0.3">
      <c r="A163" s="2">
        <v>44784</v>
      </c>
      <c r="B163" s="11">
        <v>4207.2700000000004</v>
      </c>
      <c r="C163" s="11">
        <v>12779.91</v>
      </c>
      <c r="D163" s="11">
        <v>85.436199999999999</v>
      </c>
      <c r="E163" s="11">
        <v>2523.7800000000002</v>
      </c>
      <c r="F163" s="11">
        <v>832.15</v>
      </c>
      <c r="G163" s="11">
        <v>71.988</v>
      </c>
      <c r="H163" s="11">
        <v>90.177899999999994</v>
      </c>
      <c r="I163" s="11">
        <v>2.25</v>
      </c>
      <c r="J163" s="11">
        <v>2.2959999999999998</v>
      </c>
      <c r="K163" s="11">
        <v>2.2799999999999998</v>
      </c>
      <c r="L163" s="11">
        <v>2.2149999999999999</v>
      </c>
    </row>
    <row r="164" spans="1:12" x14ac:dyDescent="0.3">
      <c r="A164" s="2">
        <v>44785</v>
      </c>
      <c r="B164" s="11">
        <v>4280.1499999999996</v>
      </c>
      <c r="C164" s="11">
        <v>13047.19</v>
      </c>
      <c r="D164" s="11">
        <v>86.614099999999993</v>
      </c>
      <c r="E164" s="11">
        <v>2527.94</v>
      </c>
      <c r="F164" s="11">
        <v>831.63</v>
      </c>
      <c r="G164" s="11">
        <v>72.005499999999998</v>
      </c>
      <c r="H164" s="11">
        <v>90.536000000000001</v>
      </c>
      <c r="I164" s="11">
        <v>2.25</v>
      </c>
      <c r="J164" s="11">
        <v>2.2349999999999999</v>
      </c>
      <c r="K164" s="11">
        <v>2.2799999999999998</v>
      </c>
      <c r="L164" s="11">
        <v>2.246</v>
      </c>
    </row>
    <row r="165" spans="1:12" x14ac:dyDescent="0.3">
      <c r="A165" s="2">
        <v>44788</v>
      </c>
      <c r="B165" s="11">
        <v>4297.1400000000003</v>
      </c>
      <c r="C165" s="11">
        <v>13128.05</v>
      </c>
      <c r="D165" s="11">
        <v>86.595399999999998</v>
      </c>
      <c r="E165" s="11">
        <v>2527.94</v>
      </c>
      <c r="F165" s="11">
        <v>831.63</v>
      </c>
      <c r="G165" s="11">
        <v>72.066500000000005</v>
      </c>
      <c r="H165" s="11">
        <v>90.824200000000005</v>
      </c>
      <c r="I165" s="11">
        <v>2.25</v>
      </c>
      <c r="J165" s="11">
        <v>2.2349999999999999</v>
      </c>
      <c r="K165" s="11">
        <v>2.29</v>
      </c>
      <c r="L165" s="11">
        <v>2.246</v>
      </c>
    </row>
    <row r="166" spans="1:12" x14ac:dyDescent="0.3">
      <c r="A166" s="2">
        <v>44789</v>
      </c>
      <c r="B166" s="11">
        <v>4305.2</v>
      </c>
      <c r="C166" s="11">
        <v>13102.55</v>
      </c>
      <c r="D166" s="11">
        <v>86.660799999999995</v>
      </c>
      <c r="E166" s="11">
        <v>2533.52</v>
      </c>
      <c r="F166" s="11">
        <v>834.74</v>
      </c>
      <c r="G166" s="11">
        <v>72.005499999999998</v>
      </c>
      <c r="H166" s="11">
        <v>90.719399999999993</v>
      </c>
      <c r="I166" s="11">
        <v>2.25</v>
      </c>
      <c r="J166" s="11">
        <v>2.2090000000000001</v>
      </c>
      <c r="K166" s="11">
        <v>2.29</v>
      </c>
      <c r="L166" s="11">
        <v>2.1760000000000002</v>
      </c>
    </row>
    <row r="167" spans="1:12" x14ac:dyDescent="0.3">
      <c r="A167" s="2">
        <v>44790</v>
      </c>
      <c r="B167" s="11">
        <v>4274.04</v>
      </c>
      <c r="C167" s="11">
        <v>12938.12</v>
      </c>
      <c r="D167" s="11">
        <v>86.034499999999994</v>
      </c>
      <c r="E167" s="11">
        <v>2516.4699999999998</v>
      </c>
      <c r="F167" s="11">
        <v>827.42</v>
      </c>
      <c r="G167" s="11">
        <v>71.944400000000002</v>
      </c>
      <c r="H167" s="11">
        <v>90.108000000000004</v>
      </c>
      <c r="I167" s="11">
        <v>2.25</v>
      </c>
      <c r="J167" s="11">
        <v>2.1850000000000001</v>
      </c>
      <c r="K167" s="11">
        <v>2.29</v>
      </c>
      <c r="L167" s="11">
        <v>2.1749999999999998</v>
      </c>
    </row>
    <row r="168" spans="1:12" x14ac:dyDescent="0.3">
      <c r="A168" s="2">
        <v>44791</v>
      </c>
      <c r="B168" s="11">
        <v>4283.74</v>
      </c>
      <c r="C168" s="11">
        <v>12965.34</v>
      </c>
      <c r="D168" s="11">
        <v>86.006399999999999</v>
      </c>
      <c r="E168" s="11">
        <v>2508.0500000000002</v>
      </c>
      <c r="F168" s="11">
        <v>826.06</v>
      </c>
      <c r="G168" s="11">
        <v>72.049099999999996</v>
      </c>
      <c r="H168" s="11">
        <v>90.282700000000006</v>
      </c>
      <c r="I168" s="11">
        <v>2.25</v>
      </c>
      <c r="J168" s="11">
        <v>2.1920000000000002</v>
      </c>
      <c r="K168" s="11">
        <v>2.2799999999999998</v>
      </c>
      <c r="L168" s="11">
        <v>2.206</v>
      </c>
    </row>
    <row r="169" spans="1:12" x14ac:dyDescent="0.3">
      <c r="A169" s="2">
        <v>44792</v>
      </c>
      <c r="B169" s="11">
        <v>4228.4799999999996</v>
      </c>
      <c r="C169" s="11">
        <v>12705.21</v>
      </c>
      <c r="D169" s="11">
        <v>84.8566</v>
      </c>
      <c r="E169" s="11">
        <v>2492.69</v>
      </c>
      <c r="F169" s="11">
        <v>814.17</v>
      </c>
      <c r="G169" s="11">
        <v>71.996700000000004</v>
      </c>
      <c r="H169" s="11">
        <v>89.505399999999995</v>
      </c>
      <c r="I169" s="11">
        <v>2.25</v>
      </c>
      <c r="J169" s="11">
        <v>2.2530000000000001</v>
      </c>
      <c r="K169" s="11">
        <v>2.2799999999999998</v>
      </c>
      <c r="L169" s="11">
        <v>2.2410000000000001</v>
      </c>
    </row>
    <row r="170" spans="1:12" x14ac:dyDescent="0.3">
      <c r="A170" s="2">
        <v>44795</v>
      </c>
      <c r="B170" s="11">
        <v>4137.99</v>
      </c>
      <c r="C170" s="11">
        <v>12381.57</v>
      </c>
      <c r="D170" s="11">
        <v>83.257999999999996</v>
      </c>
      <c r="E170" s="11">
        <v>2462.5</v>
      </c>
      <c r="F170" s="11">
        <v>795.87</v>
      </c>
      <c r="G170" s="11">
        <v>71.900800000000004</v>
      </c>
      <c r="H170" s="11">
        <v>89.112399999999994</v>
      </c>
      <c r="I170" s="11">
        <v>2.25</v>
      </c>
      <c r="J170" s="11">
        <v>2.2850000000000001</v>
      </c>
      <c r="K170" s="11">
        <v>2.2799999999999998</v>
      </c>
      <c r="L170" s="11">
        <v>2.2170000000000001</v>
      </c>
    </row>
    <row r="171" spans="1:12" x14ac:dyDescent="0.3">
      <c r="A171" s="2">
        <v>44796</v>
      </c>
      <c r="B171" s="11">
        <v>4128.7299999999996</v>
      </c>
      <c r="C171" s="11">
        <v>12381.3</v>
      </c>
      <c r="D171" s="11">
        <v>83.248599999999996</v>
      </c>
      <c r="E171" s="11">
        <v>2435.34</v>
      </c>
      <c r="F171" s="11">
        <v>783.42</v>
      </c>
      <c r="G171" s="11">
        <v>71.935699999999997</v>
      </c>
      <c r="H171" s="11">
        <v>88.894000000000005</v>
      </c>
      <c r="I171" s="11">
        <v>2.25</v>
      </c>
      <c r="J171" s="11">
        <v>2.2480000000000002</v>
      </c>
      <c r="K171" s="11">
        <v>2.27</v>
      </c>
      <c r="L171" s="11">
        <v>2.214</v>
      </c>
    </row>
    <row r="172" spans="1:12" x14ac:dyDescent="0.3">
      <c r="A172" s="2">
        <v>44797</v>
      </c>
      <c r="B172" s="11">
        <v>4140.7700000000004</v>
      </c>
      <c r="C172" s="11">
        <v>12431.53</v>
      </c>
      <c r="D172" s="11">
        <v>83.4636</v>
      </c>
      <c r="E172" s="11">
        <v>2447.4499999999998</v>
      </c>
      <c r="F172" s="11">
        <v>793.14</v>
      </c>
      <c r="G172" s="11">
        <v>71.857200000000006</v>
      </c>
      <c r="H172" s="11">
        <v>88.597099999999998</v>
      </c>
      <c r="I172" s="11">
        <v>2.25</v>
      </c>
      <c r="J172" s="11">
        <v>2.286</v>
      </c>
      <c r="K172" s="11">
        <v>2.27</v>
      </c>
      <c r="L172" s="11">
        <v>2.258</v>
      </c>
    </row>
    <row r="173" spans="1:12" x14ac:dyDescent="0.3">
      <c r="A173" s="2">
        <v>44798</v>
      </c>
      <c r="B173" s="11">
        <v>4199.12</v>
      </c>
      <c r="C173" s="11">
        <v>12639.27</v>
      </c>
      <c r="D173" s="11">
        <v>84.697599999999994</v>
      </c>
      <c r="E173" s="11">
        <v>2477.2600000000002</v>
      </c>
      <c r="F173" s="11">
        <v>807.37</v>
      </c>
      <c r="G173" s="11">
        <v>71.900800000000004</v>
      </c>
      <c r="H173" s="11">
        <v>89.1648</v>
      </c>
      <c r="I173" s="11">
        <v>2.5</v>
      </c>
      <c r="J173" s="11">
        <v>2.5430000000000001</v>
      </c>
      <c r="K173" s="11">
        <v>2.2799999999999998</v>
      </c>
      <c r="L173" s="11">
        <v>2.4489999999999998</v>
      </c>
    </row>
    <row r="174" spans="1:12" x14ac:dyDescent="0.3">
      <c r="A174" s="2">
        <v>44799</v>
      </c>
      <c r="B174" s="11">
        <v>4057.66</v>
      </c>
      <c r="C174" s="11">
        <v>12141.71</v>
      </c>
      <c r="D174" s="11">
        <v>82.173500000000004</v>
      </c>
      <c r="E174" s="11">
        <v>2481.0300000000002</v>
      </c>
      <c r="F174" s="11">
        <v>802.45</v>
      </c>
      <c r="G174" s="11">
        <v>71.883300000000006</v>
      </c>
      <c r="H174" s="11">
        <v>89.06</v>
      </c>
      <c r="I174" s="11">
        <v>2.5</v>
      </c>
      <c r="J174" s="11">
        <v>2.4740000000000002</v>
      </c>
      <c r="K174" s="11">
        <v>2.2799999999999998</v>
      </c>
      <c r="L174" s="11">
        <v>2.4260000000000002</v>
      </c>
    </row>
    <row r="175" spans="1:12" x14ac:dyDescent="0.3">
      <c r="A175" s="2">
        <v>44802</v>
      </c>
      <c r="B175" s="11">
        <v>4030.61</v>
      </c>
      <c r="C175" s="11">
        <v>12017.67</v>
      </c>
      <c r="D175" s="11">
        <v>81.668700000000001</v>
      </c>
      <c r="E175" s="11">
        <v>2426.89</v>
      </c>
      <c r="F175" s="11">
        <v>779.89</v>
      </c>
      <c r="G175" s="11">
        <v>71.831000000000003</v>
      </c>
      <c r="H175" s="11">
        <v>88.553399999999996</v>
      </c>
      <c r="I175" s="11">
        <v>2.5</v>
      </c>
      <c r="J175" s="11">
        <v>2.4260000000000002</v>
      </c>
      <c r="K175" s="11">
        <v>2.2799999999999998</v>
      </c>
      <c r="L175" s="11">
        <v>2.4209999999999998</v>
      </c>
    </row>
    <row r="176" spans="1:12" x14ac:dyDescent="0.3">
      <c r="A176" s="2">
        <v>44803</v>
      </c>
      <c r="B176" s="11">
        <v>3986.16</v>
      </c>
      <c r="C176" s="11">
        <v>11883.14</v>
      </c>
      <c r="D176" s="11">
        <v>80.827399999999997</v>
      </c>
      <c r="E176" s="11">
        <v>2450.9299999999998</v>
      </c>
      <c r="F176" s="11">
        <v>797.02</v>
      </c>
      <c r="G176" s="11">
        <v>71.796099999999996</v>
      </c>
      <c r="H176" s="11">
        <v>88.527199999999993</v>
      </c>
      <c r="I176" s="11">
        <v>2.5</v>
      </c>
      <c r="J176" s="11">
        <v>2.4380000000000002</v>
      </c>
      <c r="K176" s="11">
        <v>2.29</v>
      </c>
      <c r="L176" s="11">
        <v>2.4279999999999999</v>
      </c>
    </row>
    <row r="177" spans="1:12" x14ac:dyDescent="0.3">
      <c r="A177" s="2">
        <v>44804</v>
      </c>
      <c r="B177" s="11">
        <v>3955</v>
      </c>
      <c r="C177" s="11">
        <v>11816.2</v>
      </c>
      <c r="D177" s="11">
        <v>80.303799999999995</v>
      </c>
      <c r="E177" s="11">
        <v>2472.0500000000002</v>
      </c>
      <c r="F177" s="11">
        <v>807.04</v>
      </c>
      <c r="G177" s="11">
        <v>71.787400000000005</v>
      </c>
      <c r="H177" s="11">
        <v>88.160399999999996</v>
      </c>
      <c r="I177" s="11">
        <v>2.5</v>
      </c>
      <c r="J177" s="11">
        <v>2.609</v>
      </c>
      <c r="K177" s="11">
        <v>2.29</v>
      </c>
      <c r="L177" s="11">
        <v>2.548</v>
      </c>
    </row>
    <row r="178" spans="1:12" x14ac:dyDescent="0.3">
      <c r="A178" s="2">
        <v>44805</v>
      </c>
      <c r="B178" s="11">
        <v>3966.85</v>
      </c>
      <c r="C178" s="11">
        <v>11785.13</v>
      </c>
      <c r="D178" s="11">
        <v>80.107500000000002</v>
      </c>
      <c r="E178" s="11">
        <v>2415.61</v>
      </c>
      <c r="F178" s="11">
        <v>788.32</v>
      </c>
      <c r="G178" s="11">
        <v>71.735399999999998</v>
      </c>
      <c r="H178" s="11">
        <v>87.459599999999995</v>
      </c>
      <c r="I178" s="11">
        <v>2.5</v>
      </c>
      <c r="J178" s="11">
        <v>2.4860000000000002</v>
      </c>
      <c r="K178" s="11">
        <v>2.29</v>
      </c>
      <c r="L178" s="11">
        <v>2.5019999999999998</v>
      </c>
    </row>
    <row r="179" spans="1:12" x14ac:dyDescent="0.3">
      <c r="A179" s="2">
        <v>44806</v>
      </c>
      <c r="B179" s="11">
        <v>3924.26</v>
      </c>
      <c r="C179" s="11">
        <v>11630.86</v>
      </c>
      <c r="D179" s="11">
        <v>79.415700000000001</v>
      </c>
      <c r="E179" s="11">
        <v>2409.41</v>
      </c>
      <c r="F179" s="11">
        <v>785.88</v>
      </c>
      <c r="G179" s="11">
        <v>71.892600000000002</v>
      </c>
      <c r="H179" s="11">
        <v>87.949600000000004</v>
      </c>
      <c r="I179" s="11">
        <v>2.5</v>
      </c>
      <c r="J179" s="11">
        <v>2.4300000000000002</v>
      </c>
      <c r="K179" s="11">
        <v>2.29</v>
      </c>
      <c r="L179" s="11">
        <v>2.5139999999999998</v>
      </c>
    </row>
    <row r="180" spans="1:12" x14ac:dyDescent="0.3">
      <c r="A180" s="2">
        <v>44809</v>
      </c>
      <c r="B180" s="11">
        <v>3924.26</v>
      </c>
      <c r="C180" s="11">
        <v>11630.86</v>
      </c>
      <c r="D180" s="11">
        <v>79.415700000000001</v>
      </c>
      <c r="E180" s="11">
        <v>2403.6799999999998</v>
      </c>
      <c r="F180" s="11">
        <v>771.43</v>
      </c>
      <c r="G180" s="11">
        <v>71.892600000000002</v>
      </c>
      <c r="H180" s="11">
        <v>87.949600000000004</v>
      </c>
      <c r="I180" s="11">
        <v>2.5</v>
      </c>
      <c r="J180" s="11">
        <v>2.4039999999999999</v>
      </c>
      <c r="K180" s="11">
        <v>2.29</v>
      </c>
      <c r="L180" s="11">
        <v>2.4359999999999999</v>
      </c>
    </row>
    <row r="181" spans="1:12" x14ac:dyDescent="0.3">
      <c r="A181" s="2">
        <v>44810</v>
      </c>
      <c r="B181" s="11">
        <v>3908.19</v>
      </c>
      <c r="C181" s="11">
        <v>11544.91</v>
      </c>
      <c r="D181" s="11">
        <v>78.976299999999995</v>
      </c>
      <c r="E181" s="11">
        <v>2410.02</v>
      </c>
      <c r="F181" s="11">
        <v>779.46</v>
      </c>
      <c r="G181" s="11">
        <v>71.735399999999998</v>
      </c>
      <c r="H181" s="11">
        <v>86.9696</v>
      </c>
      <c r="I181" s="11">
        <v>2.5</v>
      </c>
      <c r="J181" s="11">
        <v>2.431</v>
      </c>
      <c r="K181" s="11">
        <v>2.29</v>
      </c>
      <c r="L181" s="11">
        <v>2.4049999999999998</v>
      </c>
    </row>
    <row r="182" spans="1:12" x14ac:dyDescent="0.3">
      <c r="A182" s="2">
        <v>44811</v>
      </c>
      <c r="B182" s="11">
        <v>3979.87</v>
      </c>
      <c r="C182" s="11">
        <v>11791.9</v>
      </c>
      <c r="D182" s="11">
        <v>80.154300000000006</v>
      </c>
      <c r="E182" s="11">
        <v>2376.46</v>
      </c>
      <c r="F182" s="11">
        <v>768.19</v>
      </c>
      <c r="G182" s="11">
        <v>71.840199999999996</v>
      </c>
      <c r="H182" s="11">
        <v>87.538300000000007</v>
      </c>
      <c r="I182" s="11">
        <v>2.5</v>
      </c>
      <c r="J182" s="11">
        <v>2.4300000000000002</v>
      </c>
      <c r="K182" s="11">
        <v>2.2799999999999998</v>
      </c>
      <c r="L182" s="11">
        <v>2.4900000000000002</v>
      </c>
    </row>
    <row r="183" spans="1:12" x14ac:dyDescent="0.3">
      <c r="A183" s="2">
        <v>44812</v>
      </c>
      <c r="B183" s="11">
        <v>4006.18</v>
      </c>
      <c r="C183" s="11">
        <v>11862.13</v>
      </c>
      <c r="D183" s="11">
        <v>80.528199999999998</v>
      </c>
      <c r="E183" s="11">
        <v>2384.2800000000002</v>
      </c>
      <c r="F183" s="11">
        <v>777.81</v>
      </c>
      <c r="G183" s="11">
        <v>71.752799999999993</v>
      </c>
      <c r="H183" s="11">
        <v>87.214600000000004</v>
      </c>
      <c r="I183" s="11">
        <v>2.5</v>
      </c>
      <c r="J183" s="11">
        <v>2.6240000000000001</v>
      </c>
      <c r="K183" s="11">
        <v>2.2799999999999998</v>
      </c>
      <c r="L183" s="11">
        <v>2.61</v>
      </c>
    </row>
    <row r="184" spans="1:12" x14ac:dyDescent="0.3">
      <c r="A184" s="2">
        <v>44813</v>
      </c>
      <c r="B184" s="11">
        <v>4067.36</v>
      </c>
      <c r="C184" s="11">
        <v>12112.31</v>
      </c>
      <c r="D184" s="11">
        <v>82.014600000000002</v>
      </c>
      <c r="E184" s="11">
        <v>2384.2800000000002</v>
      </c>
      <c r="F184" s="11">
        <v>777.81</v>
      </c>
      <c r="G184" s="11">
        <v>71.691699999999997</v>
      </c>
      <c r="H184" s="11">
        <v>87.223399999999998</v>
      </c>
      <c r="I184" s="11">
        <v>2.5</v>
      </c>
      <c r="J184" s="11">
        <v>2.6240000000000001</v>
      </c>
      <c r="K184" s="11">
        <v>2.2799999999999998</v>
      </c>
      <c r="L184" s="11">
        <v>2.5</v>
      </c>
    </row>
    <row r="185" spans="1:12" x14ac:dyDescent="0.3">
      <c r="A185" s="2">
        <v>44816</v>
      </c>
      <c r="B185" s="11">
        <v>4110.41</v>
      </c>
      <c r="C185" s="11">
        <v>12266.41</v>
      </c>
      <c r="D185" s="11">
        <v>83.024299999999997</v>
      </c>
      <c r="E185" s="11">
        <v>2384.2800000000002</v>
      </c>
      <c r="F185" s="11">
        <v>777.81</v>
      </c>
      <c r="G185" s="11">
        <v>71.683000000000007</v>
      </c>
      <c r="H185" s="11">
        <v>87.013400000000004</v>
      </c>
      <c r="I185" s="11">
        <v>2.5</v>
      </c>
      <c r="J185" s="11">
        <v>2.6240000000000001</v>
      </c>
      <c r="K185" s="11">
        <v>2.2799999999999998</v>
      </c>
      <c r="L185" s="11">
        <v>2.5</v>
      </c>
    </row>
    <row r="186" spans="1:12" x14ac:dyDescent="0.3">
      <c r="A186" s="2">
        <v>44817</v>
      </c>
      <c r="B186" s="11">
        <v>3932.69</v>
      </c>
      <c r="C186" s="11">
        <v>11633.57</v>
      </c>
      <c r="D186" s="11">
        <v>79.742900000000006</v>
      </c>
      <c r="E186" s="11">
        <v>2449.54</v>
      </c>
      <c r="F186" s="11">
        <v>796.79</v>
      </c>
      <c r="G186" s="11">
        <v>71.438400000000001</v>
      </c>
      <c r="H186" s="11">
        <v>86.523399999999995</v>
      </c>
      <c r="I186" s="11">
        <v>2.5</v>
      </c>
      <c r="J186" s="11">
        <v>2.5499999999999998</v>
      </c>
      <c r="K186" s="11">
        <v>2.2799999999999998</v>
      </c>
      <c r="L186" s="11">
        <v>2.52</v>
      </c>
    </row>
    <row r="187" spans="1:12" x14ac:dyDescent="0.3">
      <c r="A187" s="2">
        <v>44818</v>
      </c>
      <c r="B187" s="11">
        <v>3946.01</v>
      </c>
      <c r="C187" s="11">
        <v>11719.68</v>
      </c>
      <c r="D187" s="11">
        <v>80.0608</v>
      </c>
      <c r="E187" s="11">
        <v>2411.42</v>
      </c>
      <c r="F187" s="11">
        <v>782.93</v>
      </c>
      <c r="G187" s="11">
        <v>71.377300000000005</v>
      </c>
      <c r="H187" s="11">
        <v>86.5672</v>
      </c>
      <c r="I187" s="11">
        <v>2.5</v>
      </c>
      <c r="J187" s="11">
        <v>2.5270000000000001</v>
      </c>
      <c r="K187" s="11">
        <v>2.27</v>
      </c>
      <c r="L187" s="11">
        <v>2.5169999999999999</v>
      </c>
    </row>
    <row r="188" spans="1:12" x14ac:dyDescent="0.3">
      <c r="A188" s="2">
        <v>44819</v>
      </c>
      <c r="B188" s="11">
        <v>3901.35</v>
      </c>
      <c r="C188" s="11">
        <v>11552.36</v>
      </c>
      <c r="D188" s="11">
        <v>79.228800000000007</v>
      </c>
      <c r="E188" s="11">
        <v>2401.83</v>
      </c>
      <c r="F188" s="11">
        <v>781.38</v>
      </c>
      <c r="G188" s="11">
        <v>71.298699999999997</v>
      </c>
      <c r="H188" s="11">
        <v>86.2697</v>
      </c>
      <c r="I188" s="11">
        <v>2.5</v>
      </c>
      <c r="J188" s="11">
        <v>2.504</v>
      </c>
      <c r="K188" s="11">
        <v>2.2799999999999998</v>
      </c>
      <c r="L188" s="11">
        <v>2.5059999999999998</v>
      </c>
    </row>
    <row r="189" spans="1:12" x14ac:dyDescent="0.3">
      <c r="A189" s="2">
        <v>44820</v>
      </c>
      <c r="B189" s="11">
        <v>3873.33</v>
      </c>
      <c r="C189" s="11">
        <v>11448.4</v>
      </c>
      <c r="D189" s="11">
        <v>78.518299999999996</v>
      </c>
      <c r="E189" s="11">
        <v>2382.7800000000002</v>
      </c>
      <c r="F189" s="11">
        <v>770.04</v>
      </c>
      <c r="G189" s="11">
        <v>71.333600000000004</v>
      </c>
      <c r="H189" s="11">
        <v>86.339699999999993</v>
      </c>
      <c r="I189" s="11">
        <v>2.5</v>
      </c>
      <c r="J189" s="11">
        <v>2.496</v>
      </c>
      <c r="K189" s="11">
        <v>2.27</v>
      </c>
      <c r="L189" s="11">
        <v>2.5139999999999998</v>
      </c>
    </row>
    <row r="190" spans="1:12" x14ac:dyDescent="0.3">
      <c r="A190" s="2">
        <v>44823</v>
      </c>
      <c r="B190" s="11">
        <v>3899.89</v>
      </c>
      <c r="C190" s="11">
        <v>11535.02</v>
      </c>
      <c r="D190" s="11">
        <v>79.032399999999996</v>
      </c>
      <c r="E190" s="11">
        <v>2355.66</v>
      </c>
      <c r="F190" s="11">
        <v>751.91</v>
      </c>
      <c r="G190" s="11">
        <v>71.254999999999995</v>
      </c>
      <c r="H190" s="11">
        <v>86.094700000000003</v>
      </c>
      <c r="I190" s="11">
        <v>2.5</v>
      </c>
      <c r="J190" s="11">
        <v>2.4809999999999999</v>
      </c>
      <c r="K190" s="11">
        <v>2.27</v>
      </c>
      <c r="L190" s="11">
        <v>2.5009999999999999</v>
      </c>
    </row>
    <row r="191" spans="1:12" x14ac:dyDescent="0.3">
      <c r="A191" s="2">
        <v>44824</v>
      </c>
      <c r="B191" s="11">
        <v>3855.93</v>
      </c>
      <c r="C191" s="11">
        <v>11425.05</v>
      </c>
      <c r="D191" s="11">
        <v>78.060199999999995</v>
      </c>
      <c r="E191" s="11">
        <v>2367.85</v>
      </c>
      <c r="F191" s="11">
        <v>760.35</v>
      </c>
      <c r="G191" s="11">
        <v>71.22</v>
      </c>
      <c r="H191" s="11">
        <v>85.561000000000007</v>
      </c>
      <c r="I191" s="11">
        <v>2.5</v>
      </c>
      <c r="J191" s="11">
        <v>2.4820000000000002</v>
      </c>
      <c r="K191" s="11">
        <v>2.2599999999999998</v>
      </c>
      <c r="L191" s="11">
        <v>2.5259999999999998</v>
      </c>
    </row>
    <row r="192" spans="1:12" x14ac:dyDescent="0.3">
      <c r="A192" s="2">
        <v>44825</v>
      </c>
      <c r="B192" s="11">
        <v>3789.93</v>
      </c>
      <c r="C192" s="11">
        <v>11220.19</v>
      </c>
      <c r="D192" s="11">
        <v>76.779399999999995</v>
      </c>
      <c r="E192" s="11">
        <v>2347.21</v>
      </c>
      <c r="F192" s="11">
        <v>754.89</v>
      </c>
      <c r="G192" s="11">
        <v>71.158900000000003</v>
      </c>
      <c r="H192" s="11">
        <v>85.902199999999993</v>
      </c>
      <c r="I192" s="11">
        <v>2.5</v>
      </c>
      <c r="J192" s="11">
        <v>2.5070000000000001</v>
      </c>
      <c r="K192" s="11">
        <v>2.25</v>
      </c>
      <c r="L192" s="11">
        <v>2.5579999999999998</v>
      </c>
    </row>
    <row r="193" spans="1:12" x14ac:dyDescent="0.3">
      <c r="A193" s="2">
        <v>44826</v>
      </c>
      <c r="B193" s="11">
        <v>3757.99</v>
      </c>
      <c r="C193" s="11">
        <v>11066.8</v>
      </c>
      <c r="D193" s="11">
        <v>76.209199999999996</v>
      </c>
      <c r="E193" s="11">
        <v>2332.31</v>
      </c>
      <c r="F193" s="11">
        <v>751.41</v>
      </c>
      <c r="G193" s="11">
        <v>71.027900000000002</v>
      </c>
      <c r="H193" s="11">
        <v>84.607299999999995</v>
      </c>
      <c r="I193" s="11">
        <v>2.5</v>
      </c>
      <c r="J193" s="11">
        <v>2.5249999999999999</v>
      </c>
      <c r="K193" s="11">
        <v>2.99</v>
      </c>
      <c r="L193" s="11">
        <v>2.5299999999999998</v>
      </c>
    </row>
    <row r="194" spans="1:12" x14ac:dyDescent="0.3">
      <c r="A194" s="2">
        <v>44827</v>
      </c>
      <c r="B194" s="11">
        <v>3693.23</v>
      </c>
      <c r="C194" s="11">
        <v>10867.93</v>
      </c>
      <c r="D194" s="11">
        <v>74.610600000000005</v>
      </c>
      <c r="E194" s="11">
        <v>2290</v>
      </c>
      <c r="F194" s="11">
        <v>729.36</v>
      </c>
      <c r="G194" s="11">
        <v>70.9405</v>
      </c>
      <c r="H194" s="11">
        <v>84.712299999999999</v>
      </c>
      <c r="I194" s="11">
        <v>2.5</v>
      </c>
      <c r="J194" s="11">
        <v>2.5680000000000001</v>
      </c>
      <c r="K194" s="11">
        <v>2.99</v>
      </c>
      <c r="L194" s="11">
        <v>2.5470000000000002</v>
      </c>
    </row>
    <row r="195" spans="1:12" x14ac:dyDescent="0.3">
      <c r="A195" s="2">
        <v>44830</v>
      </c>
      <c r="B195" s="11">
        <v>3655.04</v>
      </c>
      <c r="C195" s="11">
        <v>10802.92</v>
      </c>
      <c r="D195" s="11">
        <v>73.722499999999997</v>
      </c>
      <c r="E195" s="11">
        <v>2220.94</v>
      </c>
      <c r="F195" s="11">
        <v>692.37</v>
      </c>
      <c r="G195" s="11">
        <v>70.783299999999997</v>
      </c>
      <c r="H195" s="11">
        <v>83.303600000000003</v>
      </c>
      <c r="I195" s="11">
        <v>2.5</v>
      </c>
      <c r="J195" s="11">
        <v>2.5670000000000002</v>
      </c>
      <c r="K195" s="11">
        <v>2.99</v>
      </c>
      <c r="L195" s="11">
        <v>2.5369999999999999</v>
      </c>
    </row>
    <row r="196" spans="1:12" x14ac:dyDescent="0.3">
      <c r="A196" s="2">
        <v>44831</v>
      </c>
      <c r="B196" s="11">
        <v>3647.29</v>
      </c>
      <c r="C196" s="11">
        <v>10829.5</v>
      </c>
      <c r="D196" s="11">
        <v>73.479399999999998</v>
      </c>
      <c r="E196" s="11">
        <v>2223.86</v>
      </c>
      <c r="F196" s="11">
        <v>698.11</v>
      </c>
      <c r="G196" s="11">
        <v>70.783299999999997</v>
      </c>
      <c r="H196" s="11">
        <v>82.734899999999996</v>
      </c>
      <c r="I196" s="11">
        <v>2.5</v>
      </c>
      <c r="J196" s="11">
        <v>2.5640000000000001</v>
      </c>
      <c r="K196" s="11">
        <v>2.98</v>
      </c>
      <c r="L196" s="11">
        <v>2.5259999999999998</v>
      </c>
    </row>
    <row r="197" spans="1:12" x14ac:dyDescent="0.3">
      <c r="A197" s="2">
        <v>44832</v>
      </c>
      <c r="B197" s="11">
        <v>3719.04</v>
      </c>
      <c r="C197" s="11">
        <v>11051.64</v>
      </c>
      <c r="D197" s="11">
        <v>74.984499999999997</v>
      </c>
      <c r="E197" s="11">
        <v>2169.29</v>
      </c>
      <c r="F197" s="11">
        <v>673.87</v>
      </c>
      <c r="G197" s="11">
        <v>71.088999999999999</v>
      </c>
      <c r="H197" s="11">
        <v>84.598500000000001</v>
      </c>
      <c r="I197" s="11">
        <v>2.5</v>
      </c>
      <c r="J197" s="11">
        <v>2.573</v>
      </c>
      <c r="K197" s="11">
        <v>2.98</v>
      </c>
      <c r="L197" s="11">
        <v>2.5310000000000001</v>
      </c>
    </row>
    <row r="198" spans="1:12" x14ac:dyDescent="0.3">
      <c r="A198" s="2">
        <v>44833</v>
      </c>
      <c r="B198" s="11">
        <v>3640.47</v>
      </c>
      <c r="C198" s="11">
        <v>10737.51</v>
      </c>
      <c r="D198" s="11">
        <v>73.572900000000004</v>
      </c>
      <c r="E198" s="11">
        <v>2170.9299999999998</v>
      </c>
      <c r="F198" s="11">
        <v>675.07</v>
      </c>
      <c r="G198" s="11">
        <v>70.992999999999995</v>
      </c>
      <c r="H198" s="11">
        <v>84.204800000000006</v>
      </c>
      <c r="I198" s="11">
        <v>2.5</v>
      </c>
      <c r="J198" s="11">
        <v>2.5939999999999999</v>
      </c>
      <c r="K198" s="11">
        <v>2.96</v>
      </c>
      <c r="L198" s="11">
        <v>2.5459999999999998</v>
      </c>
    </row>
    <row r="199" spans="1:12" x14ac:dyDescent="0.3">
      <c r="A199" s="2">
        <v>44834</v>
      </c>
      <c r="B199" s="11">
        <v>3585.62</v>
      </c>
      <c r="C199" s="11">
        <v>10575.62</v>
      </c>
      <c r="D199" s="11">
        <v>72.759600000000006</v>
      </c>
      <c r="E199" s="11">
        <v>2155.4899999999998</v>
      </c>
      <c r="F199" s="11">
        <v>672.65</v>
      </c>
      <c r="G199" s="11">
        <v>70.931799999999996</v>
      </c>
      <c r="H199" s="11">
        <v>83.986099999999993</v>
      </c>
      <c r="I199" s="11">
        <v>2.5</v>
      </c>
      <c r="J199" s="11">
        <v>2.7440000000000002</v>
      </c>
      <c r="K199" s="11">
        <v>2.98</v>
      </c>
      <c r="L199" s="11">
        <v>2.8039999999999998</v>
      </c>
    </row>
    <row r="200" spans="1:12" x14ac:dyDescent="0.3">
      <c r="A200" s="2">
        <v>44837</v>
      </c>
      <c r="B200" s="11">
        <v>3678.43</v>
      </c>
      <c r="C200" s="11">
        <v>10815.43</v>
      </c>
      <c r="D200" s="11">
        <v>74.489099999999993</v>
      </c>
      <c r="E200" s="11">
        <v>2155.4899999999998</v>
      </c>
      <c r="F200" s="11">
        <v>672.65</v>
      </c>
      <c r="G200" s="11">
        <v>71.087500000000006</v>
      </c>
      <c r="H200" s="11">
        <v>84.982500000000002</v>
      </c>
      <c r="I200" s="11">
        <v>2.5</v>
      </c>
      <c r="J200" s="11">
        <v>2.7440000000000002</v>
      </c>
      <c r="K200" s="11">
        <v>3</v>
      </c>
      <c r="L200" s="11">
        <v>2.5</v>
      </c>
    </row>
    <row r="201" spans="1:12" x14ac:dyDescent="0.3">
      <c r="A201" s="2">
        <v>44838</v>
      </c>
      <c r="B201" s="11">
        <v>3790.93</v>
      </c>
      <c r="C201" s="11">
        <v>11176.41</v>
      </c>
      <c r="D201" s="11">
        <v>77.031899999999993</v>
      </c>
      <c r="E201" s="11">
        <v>2209.38</v>
      </c>
      <c r="F201" s="11">
        <v>696.79</v>
      </c>
      <c r="G201" s="11">
        <v>71.113699999999994</v>
      </c>
      <c r="H201" s="11">
        <v>85.157799999999995</v>
      </c>
      <c r="I201" s="11">
        <v>2.5</v>
      </c>
      <c r="J201" s="11">
        <v>2.6659999999999999</v>
      </c>
      <c r="K201" s="11">
        <v>3.04</v>
      </c>
      <c r="L201" s="11">
        <v>2.5430000000000001</v>
      </c>
    </row>
    <row r="202" spans="1:12" x14ac:dyDescent="0.3">
      <c r="A202" s="2">
        <v>44839</v>
      </c>
      <c r="B202" s="11">
        <v>3783.28</v>
      </c>
      <c r="C202" s="11">
        <v>11148.64</v>
      </c>
      <c r="D202" s="11">
        <v>76.686000000000007</v>
      </c>
      <c r="E202" s="11">
        <v>2215.2199999999998</v>
      </c>
      <c r="F202" s="11">
        <v>685.34</v>
      </c>
      <c r="G202" s="11">
        <v>71.043800000000005</v>
      </c>
      <c r="H202" s="11">
        <v>84.351299999999995</v>
      </c>
      <c r="I202" s="11">
        <v>2.5</v>
      </c>
      <c r="J202" s="11">
        <v>2.6789999999999998</v>
      </c>
      <c r="K202" s="11">
        <v>3.04</v>
      </c>
      <c r="L202" s="11">
        <v>2.5099999999999998</v>
      </c>
    </row>
    <row r="203" spans="1:12" x14ac:dyDescent="0.3">
      <c r="A203" s="2">
        <v>44840</v>
      </c>
      <c r="B203" s="11">
        <v>3744.52</v>
      </c>
      <c r="C203" s="11">
        <v>11073.31</v>
      </c>
      <c r="D203" s="11">
        <v>75.797899999999998</v>
      </c>
      <c r="E203" s="11">
        <v>2237.86</v>
      </c>
      <c r="F203" s="11">
        <v>706.01</v>
      </c>
      <c r="G203" s="11">
        <v>70.956299999999999</v>
      </c>
      <c r="H203" s="11">
        <v>83.886700000000005</v>
      </c>
      <c r="I203" s="11">
        <v>2.5</v>
      </c>
      <c r="J203" s="11">
        <v>2.5910000000000002</v>
      </c>
      <c r="K203" s="11">
        <v>3.05</v>
      </c>
      <c r="L203" s="11">
        <v>2.552</v>
      </c>
    </row>
    <row r="204" spans="1:12" x14ac:dyDescent="0.3">
      <c r="A204" s="2">
        <v>44841</v>
      </c>
      <c r="B204" s="11">
        <v>3639.66</v>
      </c>
      <c r="C204" s="11">
        <v>10652.4</v>
      </c>
      <c r="D204" s="11">
        <v>73.872100000000003</v>
      </c>
      <c r="E204" s="11">
        <v>2232.84</v>
      </c>
      <c r="F204" s="11">
        <v>698.49</v>
      </c>
      <c r="G204" s="11">
        <v>70.868799999999993</v>
      </c>
      <c r="H204" s="11">
        <v>83.474599999999995</v>
      </c>
      <c r="I204" s="11">
        <v>2.5</v>
      </c>
      <c r="J204" s="11">
        <v>2.6539999999999999</v>
      </c>
      <c r="K204" s="11">
        <v>3.05</v>
      </c>
      <c r="L204" s="11">
        <v>2.68</v>
      </c>
    </row>
    <row r="205" spans="1:12" x14ac:dyDescent="0.3">
      <c r="A205" s="2">
        <v>44844</v>
      </c>
      <c r="B205" s="11">
        <v>3612.39</v>
      </c>
      <c r="C205" s="11">
        <v>10542.1</v>
      </c>
      <c r="D205" s="11">
        <v>73.283100000000005</v>
      </c>
      <c r="E205" s="11">
        <v>2232.84</v>
      </c>
      <c r="F205" s="11">
        <v>698.49</v>
      </c>
      <c r="G205" s="11">
        <v>70.842600000000004</v>
      </c>
      <c r="H205" s="11">
        <v>82.983699999999999</v>
      </c>
      <c r="I205" s="11">
        <v>2.5</v>
      </c>
      <c r="J205" s="11">
        <v>2.6539999999999999</v>
      </c>
      <c r="K205" s="11">
        <v>3.05</v>
      </c>
      <c r="L205" s="11">
        <v>2.5</v>
      </c>
    </row>
    <row r="206" spans="1:12" x14ac:dyDescent="0.3">
      <c r="A206" s="2">
        <v>44845</v>
      </c>
      <c r="B206" s="11">
        <v>3588.84</v>
      </c>
      <c r="C206" s="11">
        <v>10426.19</v>
      </c>
      <c r="D206" s="11">
        <v>72.6661</v>
      </c>
      <c r="E206" s="11">
        <v>2192.0700000000002</v>
      </c>
      <c r="F206" s="11">
        <v>669.5</v>
      </c>
      <c r="G206" s="11">
        <v>70.877600000000001</v>
      </c>
      <c r="H206" s="11">
        <v>83.194100000000006</v>
      </c>
      <c r="I206" s="11">
        <v>2.5</v>
      </c>
      <c r="J206" s="11">
        <v>2.7269999999999999</v>
      </c>
      <c r="K206" s="11">
        <v>3.05</v>
      </c>
      <c r="L206" s="11">
        <v>2.7839999999999998</v>
      </c>
    </row>
    <row r="207" spans="1:12" x14ac:dyDescent="0.3">
      <c r="A207" s="2">
        <v>44846</v>
      </c>
      <c r="B207" s="11">
        <v>3577.03</v>
      </c>
      <c r="C207" s="11">
        <v>10417.1</v>
      </c>
      <c r="D207" s="11">
        <v>72.469800000000006</v>
      </c>
      <c r="E207" s="11">
        <v>2202.4699999999998</v>
      </c>
      <c r="F207" s="11">
        <v>671.67</v>
      </c>
      <c r="G207" s="11">
        <v>70.947599999999994</v>
      </c>
      <c r="H207" s="11">
        <v>83.465900000000005</v>
      </c>
      <c r="I207" s="11">
        <v>3</v>
      </c>
      <c r="J207" s="11">
        <v>3.1080000000000001</v>
      </c>
      <c r="K207" s="11">
        <v>3.04</v>
      </c>
      <c r="L207" s="11">
        <v>3.1139999999999999</v>
      </c>
    </row>
    <row r="208" spans="1:12" x14ac:dyDescent="0.3">
      <c r="A208" s="2">
        <v>44847</v>
      </c>
      <c r="B208" s="11">
        <v>3669.91</v>
      </c>
      <c r="C208" s="11">
        <v>10649.15</v>
      </c>
      <c r="D208" s="11">
        <v>74.105800000000002</v>
      </c>
      <c r="E208" s="11">
        <v>2162.87</v>
      </c>
      <c r="F208" s="11">
        <v>651.59</v>
      </c>
      <c r="G208" s="11">
        <v>70.737700000000004</v>
      </c>
      <c r="H208" s="11">
        <v>83.115200000000002</v>
      </c>
      <c r="I208" s="11">
        <v>3</v>
      </c>
      <c r="J208" s="11">
        <v>3.1070000000000002</v>
      </c>
      <c r="K208" s="11">
        <v>3.04</v>
      </c>
      <c r="L208" s="11">
        <v>3.1269999999999998</v>
      </c>
    </row>
    <row r="209" spans="1:12" x14ac:dyDescent="0.3">
      <c r="A209" s="2">
        <v>44848</v>
      </c>
      <c r="B209" s="11">
        <v>3583.07</v>
      </c>
      <c r="C209" s="11">
        <v>10321.39</v>
      </c>
      <c r="D209" s="11">
        <v>72.535200000000003</v>
      </c>
      <c r="E209" s="11">
        <v>2212.5500000000002</v>
      </c>
      <c r="F209" s="11">
        <v>678.24</v>
      </c>
      <c r="G209" s="11">
        <v>70.702699999999993</v>
      </c>
      <c r="H209" s="11">
        <v>82.650599999999997</v>
      </c>
      <c r="I209" s="11">
        <v>3</v>
      </c>
      <c r="J209" s="11">
        <v>3.0179999999999998</v>
      </c>
      <c r="K209" s="11">
        <v>3.04</v>
      </c>
      <c r="L209" s="11">
        <v>3.0710000000000002</v>
      </c>
    </row>
    <row r="210" spans="1:12" x14ac:dyDescent="0.3">
      <c r="A210" s="2">
        <v>44851</v>
      </c>
      <c r="B210" s="11">
        <v>3677.95</v>
      </c>
      <c r="C210" s="11">
        <v>10675.8</v>
      </c>
      <c r="D210" s="11">
        <v>74.414299999999997</v>
      </c>
      <c r="E210" s="11">
        <v>2219.71</v>
      </c>
      <c r="F210" s="11">
        <v>682</v>
      </c>
      <c r="G210" s="11">
        <v>70.781400000000005</v>
      </c>
      <c r="H210" s="11">
        <v>82.738200000000006</v>
      </c>
      <c r="I210" s="11">
        <v>3</v>
      </c>
      <c r="J210" s="11">
        <v>3.048</v>
      </c>
      <c r="K210" s="11">
        <v>3.05</v>
      </c>
      <c r="L210" s="11">
        <v>3.05</v>
      </c>
    </row>
    <row r="211" spans="1:12" x14ac:dyDescent="0.3">
      <c r="A211" s="2">
        <v>44852</v>
      </c>
      <c r="B211" s="11">
        <v>3719.98</v>
      </c>
      <c r="C211" s="11">
        <v>10772.4</v>
      </c>
      <c r="D211" s="11">
        <v>75.115399999999994</v>
      </c>
      <c r="E211" s="11">
        <v>2249.9499999999998</v>
      </c>
      <c r="F211" s="11">
        <v>697.09</v>
      </c>
      <c r="G211" s="11">
        <v>70.816400000000002</v>
      </c>
      <c r="H211" s="11">
        <v>82.948599999999999</v>
      </c>
      <c r="I211" s="11">
        <v>3</v>
      </c>
      <c r="J211" s="11">
        <v>3.0470000000000002</v>
      </c>
      <c r="K211" s="11">
        <v>3.04</v>
      </c>
      <c r="L211" s="11">
        <v>3.081</v>
      </c>
    </row>
    <row r="212" spans="1:12" x14ac:dyDescent="0.3">
      <c r="A212" s="2">
        <v>44853</v>
      </c>
      <c r="B212" s="11">
        <v>3695.16</v>
      </c>
      <c r="C212" s="11">
        <v>10680.51</v>
      </c>
      <c r="D212" s="11">
        <v>74.348799999999997</v>
      </c>
      <c r="E212" s="11">
        <v>2237.44</v>
      </c>
      <c r="F212" s="11">
        <v>690.56</v>
      </c>
      <c r="G212" s="11">
        <v>70.685199999999995</v>
      </c>
      <c r="H212" s="11">
        <v>82.080799999999996</v>
      </c>
      <c r="I212" s="11">
        <v>3</v>
      </c>
      <c r="J212" s="11">
        <v>3.073</v>
      </c>
      <c r="K212" s="11">
        <v>3.04</v>
      </c>
      <c r="L212" s="11">
        <v>3.0790000000000002</v>
      </c>
    </row>
    <row r="213" spans="1:12" x14ac:dyDescent="0.3">
      <c r="A213" s="2">
        <v>44854</v>
      </c>
      <c r="B213" s="11">
        <v>3665.78</v>
      </c>
      <c r="C213" s="11">
        <v>10614.84</v>
      </c>
      <c r="D213" s="11">
        <v>73.993600000000001</v>
      </c>
      <c r="E213" s="11">
        <v>2218.09</v>
      </c>
      <c r="F213" s="11">
        <v>680.44</v>
      </c>
      <c r="G213" s="11">
        <v>70.606499999999997</v>
      </c>
      <c r="H213" s="11">
        <v>81.467100000000002</v>
      </c>
      <c r="I213" s="11">
        <v>3</v>
      </c>
      <c r="J213" s="11">
        <v>3.109</v>
      </c>
      <c r="K213" s="11">
        <v>3.03</v>
      </c>
      <c r="L213" s="11">
        <v>3.1320000000000001</v>
      </c>
    </row>
    <row r="214" spans="1:12" x14ac:dyDescent="0.3">
      <c r="A214" s="2">
        <v>44855</v>
      </c>
      <c r="B214" s="11">
        <v>3752.75</v>
      </c>
      <c r="C214" s="11">
        <v>10859.72</v>
      </c>
      <c r="D214" s="11">
        <v>75.564099999999996</v>
      </c>
      <c r="E214" s="11">
        <v>2213.12</v>
      </c>
      <c r="F214" s="11">
        <v>674.48</v>
      </c>
      <c r="G214" s="11">
        <v>70.790099999999995</v>
      </c>
      <c r="H214" s="11">
        <v>81.651200000000003</v>
      </c>
      <c r="I214" s="11">
        <v>3</v>
      </c>
      <c r="J214" s="11">
        <v>3.1059999999999999</v>
      </c>
      <c r="K214" s="11">
        <v>3.02</v>
      </c>
      <c r="L214" s="11">
        <v>3.1070000000000002</v>
      </c>
    </row>
    <row r="215" spans="1:12" x14ac:dyDescent="0.3">
      <c r="A215" s="2">
        <v>44858</v>
      </c>
      <c r="B215" s="11">
        <v>3797.34</v>
      </c>
      <c r="C215" s="11">
        <v>10952.61</v>
      </c>
      <c r="D215" s="11">
        <v>75.788499999999999</v>
      </c>
      <c r="E215" s="11">
        <v>2236.16</v>
      </c>
      <c r="F215" s="11">
        <v>688.5</v>
      </c>
      <c r="G215" s="11">
        <v>70.772599999999997</v>
      </c>
      <c r="H215" s="11">
        <v>81.546000000000006</v>
      </c>
      <c r="I215" s="11">
        <v>3</v>
      </c>
      <c r="J215" s="11">
        <v>3.1080000000000001</v>
      </c>
      <c r="K215" s="11">
        <v>3.01</v>
      </c>
      <c r="L215" s="11">
        <v>3.1339999999999999</v>
      </c>
    </row>
    <row r="216" spans="1:12" x14ac:dyDescent="0.3">
      <c r="A216" s="2">
        <v>44859</v>
      </c>
      <c r="B216" s="11">
        <v>3859.11</v>
      </c>
      <c r="C216" s="11">
        <v>11199.12</v>
      </c>
      <c r="D216" s="11">
        <v>77.125299999999996</v>
      </c>
      <c r="E216" s="11">
        <v>2235.0700000000002</v>
      </c>
      <c r="F216" s="11">
        <v>688.85</v>
      </c>
      <c r="G216" s="11">
        <v>70.842600000000004</v>
      </c>
      <c r="H216" s="11">
        <v>82.562899999999999</v>
      </c>
      <c r="I216" s="11">
        <v>3</v>
      </c>
      <c r="J216" s="11">
        <v>3.1230000000000002</v>
      </c>
      <c r="K216" s="11">
        <v>3.02</v>
      </c>
      <c r="L216" s="11">
        <v>3.1480000000000001</v>
      </c>
    </row>
    <row r="217" spans="1:12" x14ac:dyDescent="0.3">
      <c r="A217" s="2">
        <v>44860</v>
      </c>
      <c r="B217" s="11">
        <v>3830.6</v>
      </c>
      <c r="C217" s="11">
        <v>10970.99</v>
      </c>
      <c r="D217" s="11">
        <v>77.134699999999995</v>
      </c>
      <c r="E217" s="11">
        <v>2249.56</v>
      </c>
      <c r="F217" s="11">
        <v>683.17</v>
      </c>
      <c r="G217" s="11">
        <v>70.903800000000004</v>
      </c>
      <c r="H217" s="11">
        <v>82.983699999999999</v>
      </c>
      <c r="I217" s="11">
        <v>3</v>
      </c>
      <c r="J217" s="11">
        <v>3.1240000000000001</v>
      </c>
      <c r="K217" s="11">
        <v>3.03</v>
      </c>
      <c r="L217" s="11">
        <v>3.1269999999999998</v>
      </c>
    </row>
    <row r="218" spans="1:12" x14ac:dyDescent="0.3">
      <c r="A218" s="2">
        <v>44861</v>
      </c>
      <c r="B218" s="11">
        <v>3807.3</v>
      </c>
      <c r="C218" s="11">
        <v>10792.67</v>
      </c>
      <c r="D218" s="11">
        <v>76.667299999999997</v>
      </c>
      <c r="E218" s="11">
        <v>2288.7800000000002</v>
      </c>
      <c r="F218" s="11">
        <v>695.09</v>
      </c>
      <c r="G218" s="11">
        <v>71.052499999999995</v>
      </c>
      <c r="H218" s="11">
        <v>83.571100000000001</v>
      </c>
      <c r="I218" s="11">
        <v>3</v>
      </c>
      <c r="J218" s="11">
        <v>3.0209999999999999</v>
      </c>
      <c r="K218" s="11">
        <v>3.04</v>
      </c>
      <c r="L218" s="11">
        <v>3.0720000000000001</v>
      </c>
    </row>
    <row r="219" spans="1:12" x14ac:dyDescent="0.3">
      <c r="A219" s="2">
        <v>44862</v>
      </c>
      <c r="B219" s="11">
        <v>3901.06</v>
      </c>
      <c r="C219" s="11">
        <v>11102.45</v>
      </c>
      <c r="D219" s="11">
        <v>77.891900000000007</v>
      </c>
      <c r="E219" s="11">
        <v>2268.4</v>
      </c>
      <c r="F219" s="11">
        <v>687.63</v>
      </c>
      <c r="G219" s="11">
        <v>70.947599999999994</v>
      </c>
      <c r="H219" s="11">
        <v>83.141499999999994</v>
      </c>
      <c r="I219" s="11">
        <v>3</v>
      </c>
      <c r="J219" s="11">
        <v>3.004</v>
      </c>
      <c r="K219" s="11">
        <v>3.05</v>
      </c>
      <c r="L219" s="11">
        <v>3.0470000000000002</v>
      </c>
    </row>
    <row r="220" spans="1:12" x14ac:dyDescent="0.3">
      <c r="A220" s="2">
        <v>44865</v>
      </c>
      <c r="B220" s="11">
        <v>3871.98</v>
      </c>
      <c r="C220" s="11">
        <v>10988.15</v>
      </c>
      <c r="D220" s="11">
        <v>77.377799999999993</v>
      </c>
      <c r="E220" s="11">
        <v>2293.61</v>
      </c>
      <c r="F220" s="11">
        <v>695.33</v>
      </c>
      <c r="G220" s="11">
        <v>70.842600000000004</v>
      </c>
      <c r="H220" s="11">
        <v>82.764499999999998</v>
      </c>
      <c r="I220" s="11">
        <v>3</v>
      </c>
      <c r="J220" s="11">
        <v>3.0470000000000002</v>
      </c>
      <c r="K220" s="11">
        <v>3.05</v>
      </c>
      <c r="L220" s="11">
        <v>3.19</v>
      </c>
    </row>
    <row r="221" spans="1:12" x14ac:dyDescent="0.3">
      <c r="A221" s="2">
        <v>44866</v>
      </c>
      <c r="B221" s="11">
        <v>3856.1</v>
      </c>
      <c r="C221" s="11">
        <v>10890.85</v>
      </c>
      <c r="D221" s="11">
        <v>77.452500000000001</v>
      </c>
      <c r="E221" s="11">
        <v>2335.2199999999998</v>
      </c>
      <c r="F221" s="11">
        <v>700.05</v>
      </c>
      <c r="G221" s="11">
        <v>70.773099999999999</v>
      </c>
      <c r="H221" s="11">
        <v>82.749399999999994</v>
      </c>
      <c r="I221" s="11">
        <v>3</v>
      </c>
      <c r="J221" s="11">
        <v>3.0190000000000001</v>
      </c>
      <c r="K221" s="11">
        <v>3.05</v>
      </c>
      <c r="L221" s="11">
        <v>3.085</v>
      </c>
    </row>
    <row r="222" spans="1:12" x14ac:dyDescent="0.3">
      <c r="A222" s="2">
        <v>44867</v>
      </c>
      <c r="B222" s="11">
        <v>3759.69</v>
      </c>
      <c r="C222" s="11">
        <v>10524.8</v>
      </c>
      <c r="D222" s="11">
        <v>75.863299999999995</v>
      </c>
      <c r="E222" s="11">
        <v>2336.87</v>
      </c>
      <c r="F222" s="11">
        <v>697.37</v>
      </c>
      <c r="G222" s="11">
        <v>70.738100000000003</v>
      </c>
      <c r="H222" s="11">
        <v>82.608900000000006</v>
      </c>
      <c r="I222" s="11">
        <v>3</v>
      </c>
      <c r="J222" s="11">
        <v>2.8940000000000001</v>
      </c>
      <c r="K222" s="11">
        <v>3.05</v>
      </c>
      <c r="L222" s="11">
        <v>3.0310000000000001</v>
      </c>
    </row>
    <row r="223" spans="1:12" x14ac:dyDescent="0.3">
      <c r="A223" s="2">
        <v>44868</v>
      </c>
      <c r="B223" s="11">
        <v>3719.89</v>
      </c>
      <c r="C223" s="11">
        <v>10342.94</v>
      </c>
      <c r="D223" s="11">
        <v>75.1995</v>
      </c>
      <c r="E223" s="11">
        <v>2329.17</v>
      </c>
      <c r="F223" s="11">
        <v>694.13</v>
      </c>
      <c r="G223" s="11">
        <v>70.606700000000004</v>
      </c>
      <c r="H223" s="11">
        <v>82.248699999999999</v>
      </c>
      <c r="I223" s="11">
        <v>3</v>
      </c>
      <c r="J223" s="11">
        <v>2.8889999999999998</v>
      </c>
      <c r="K223" s="11">
        <v>3.8</v>
      </c>
      <c r="L223" s="11">
        <v>3.0449999999999999</v>
      </c>
    </row>
    <row r="224" spans="1:12" x14ac:dyDescent="0.3">
      <c r="A224" s="2">
        <v>44869</v>
      </c>
      <c r="B224" s="11">
        <v>3770.55</v>
      </c>
      <c r="C224" s="11">
        <v>10475.25</v>
      </c>
      <c r="D224" s="11">
        <v>76.966399999999993</v>
      </c>
      <c r="E224" s="11">
        <v>2348.4299999999998</v>
      </c>
      <c r="F224" s="11">
        <v>693.89</v>
      </c>
      <c r="G224" s="11">
        <v>70.685500000000005</v>
      </c>
      <c r="H224" s="11">
        <v>82.072900000000004</v>
      </c>
      <c r="I224" s="11">
        <v>3</v>
      </c>
      <c r="J224" s="11">
        <v>2.847</v>
      </c>
      <c r="K224" s="11">
        <v>3.8</v>
      </c>
      <c r="L224" s="11">
        <v>2.992</v>
      </c>
    </row>
    <row r="225" spans="1:12" x14ac:dyDescent="0.3">
      <c r="A225" s="2">
        <v>44872</v>
      </c>
      <c r="B225" s="11">
        <v>3806.8</v>
      </c>
      <c r="C225" s="11">
        <v>10564.52</v>
      </c>
      <c r="D225" s="11">
        <v>77.452500000000001</v>
      </c>
      <c r="E225" s="11">
        <v>2371.79</v>
      </c>
      <c r="F225" s="11">
        <v>700.48</v>
      </c>
      <c r="G225" s="11">
        <v>70.624200000000002</v>
      </c>
      <c r="H225" s="11">
        <v>81.783000000000001</v>
      </c>
      <c r="I225" s="11">
        <v>3</v>
      </c>
      <c r="J225" s="11">
        <v>2.8570000000000002</v>
      </c>
      <c r="K225" s="11">
        <v>3.78</v>
      </c>
      <c r="L225" s="11">
        <v>2.9769999999999999</v>
      </c>
    </row>
    <row r="226" spans="1:12" x14ac:dyDescent="0.3">
      <c r="A226" s="2">
        <v>44873</v>
      </c>
      <c r="B226" s="11">
        <v>3828.11</v>
      </c>
      <c r="C226" s="11">
        <v>10616.2</v>
      </c>
      <c r="D226" s="11">
        <v>77.994799999999998</v>
      </c>
      <c r="E226" s="11">
        <v>2399.04</v>
      </c>
      <c r="F226" s="11">
        <v>713.33</v>
      </c>
      <c r="G226" s="11">
        <v>70.694299999999998</v>
      </c>
      <c r="H226" s="11">
        <v>82.327699999999993</v>
      </c>
      <c r="I226" s="11">
        <v>3</v>
      </c>
      <c r="J226" s="11">
        <v>2.8849999999999998</v>
      </c>
      <c r="K226" s="11">
        <v>3.78</v>
      </c>
      <c r="L226" s="11">
        <v>2.9929999999999999</v>
      </c>
    </row>
    <row r="227" spans="1:12" x14ac:dyDescent="0.3">
      <c r="A227" s="2">
        <v>44874</v>
      </c>
      <c r="B227" s="11">
        <v>3748.57</v>
      </c>
      <c r="C227" s="11">
        <v>10353.17</v>
      </c>
      <c r="D227" s="11">
        <v>76.555099999999996</v>
      </c>
      <c r="E227" s="11">
        <v>2424.41</v>
      </c>
      <c r="F227" s="11">
        <v>714.6</v>
      </c>
      <c r="G227" s="11">
        <v>70.808199999999999</v>
      </c>
      <c r="H227" s="11">
        <v>82.608900000000006</v>
      </c>
      <c r="I227" s="11">
        <v>3</v>
      </c>
      <c r="J227" s="11">
        <v>2.8839999999999999</v>
      </c>
      <c r="K227" s="11">
        <v>3.78</v>
      </c>
      <c r="L227" s="11">
        <v>2.9860000000000002</v>
      </c>
    </row>
    <row r="228" spans="1:12" x14ac:dyDescent="0.3">
      <c r="A228" s="2">
        <v>44875</v>
      </c>
      <c r="B228" s="11">
        <v>3956.37</v>
      </c>
      <c r="C228" s="11">
        <v>11114.15</v>
      </c>
      <c r="D228" s="11">
        <v>80.659099999999995</v>
      </c>
      <c r="E228" s="11">
        <v>2402.23</v>
      </c>
      <c r="F228" s="11">
        <v>707.78</v>
      </c>
      <c r="G228" s="11">
        <v>71.193700000000007</v>
      </c>
      <c r="H228" s="11">
        <v>84.462599999999995</v>
      </c>
      <c r="I228" s="11">
        <v>3</v>
      </c>
      <c r="J228" s="11">
        <v>3.1080000000000001</v>
      </c>
      <c r="K228" s="11">
        <v>3.78</v>
      </c>
      <c r="L228" s="11">
        <v>3.09</v>
      </c>
    </row>
    <row r="229" spans="1:12" x14ac:dyDescent="0.3">
      <c r="A229" s="2">
        <v>44876</v>
      </c>
      <c r="B229" s="11">
        <v>3992.93</v>
      </c>
      <c r="C229" s="11">
        <v>11323.33</v>
      </c>
      <c r="D229" s="11">
        <v>81.883700000000005</v>
      </c>
      <c r="E229" s="11">
        <v>2483.16</v>
      </c>
      <c r="F229" s="11">
        <v>731.22</v>
      </c>
      <c r="G229" s="11">
        <v>71.176100000000005</v>
      </c>
      <c r="H229" s="11">
        <v>84.286900000000003</v>
      </c>
      <c r="I229" s="11">
        <v>3</v>
      </c>
      <c r="J229" s="11">
        <v>3.1080000000000001</v>
      </c>
      <c r="K229" s="11">
        <v>3.78</v>
      </c>
      <c r="L229" s="11">
        <v>3.07</v>
      </c>
    </row>
    <row r="230" spans="1:12" x14ac:dyDescent="0.3">
      <c r="A230" s="2">
        <v>44879</v>
      </c>
      <c r="B230" s="11">
        <v>3957.25</v>
      </c>
      <c r="C230" s="11">
        <v>11196.22</v>
      </c>
      <c r="D230" s="11">
        <v>81.145200000000003</v>
      </c>
      <c r="E230" s="11">
        <v>2474.65</v>
      </c>
      <c r="F230" s="11">
        <v>729.54</v>
      </c>
      <c r="G230" s="11">
        <v>71.114800000000002</v>
      </c>
      <c r="H230" s="11">
        <v>84.084800000000001</v>
      </c>
      <c r="I230" s="11">
        <v>3</v>
      </c>
      <c r="J230" s="11">
        <v>3.0390000000000001</v>
      </c>
      <c r="K230" s="11">
        <v>3.79</v>
      </c>
      <c r="L230" s="11">
        <v>3.0779999999999998</v>
      </c>
    </row>
    <row r="231" spans="1:12" x14ac:dyDescent="0.3">
      <c r="A231" s="2">
        <v>44880</v>
      </c>
      <c r="B231" s="11">
        <v>3991.73</v>
      </c>
      <c r="C231" s="11">
        <v>11358.41</v>
      </c>
      <c r="D231" s="11">
        <v>81.930499999999995</v>
      </c>
      <c r="E231" s="11">
        <v>2480.33</v>
      </c>
      <c r="F231" s="11">
        <v>744.96</v>
      </c>
      <c r="G231" s="11">
        <v>71.184899999999999</v>
      </c>
      <c r="H231" s="11">
        <v>84.708600000000004</v>
      </c>
      <c r="I231" s="11">
        <v>3</v>
      </c>
      <c r="J231" s="11">
        <v>3.0569999999999999</v>
      </c>
      <c r="K231" s="11">
        <v>3.8</v>
      </c>
      <c r="L231" s="11">
        <v>3.0310000000000001</v>
      </c>
    </row>
    <row r="232" spans="1:12" x14ac:dyDescent="0.3">
      <c r="A232" s="2">
        <v>44881</v>
      </c>
      <c r="B232" s="11">
        <v>3958.79</v>
      </c>
      <c r="C232" s="11">
        <v>11183.66</v>
      </c>
      <c r="D232" s="11">
        <v>81.313500000000005</v>
      </c>
      <c r="E232" s="11">
        <v>2477.4499999999998</v>
      </c>
      <c r="F232" s="11">
        <v>743.1</v>
      </c>
      <c r="G232" s="11">
        <v>71.193700000000007</v>
      </c>
      <c r="H232" s="11">
        <v>85.332300000000004</v>
      </c>
      <c r="I232" s="11">
        <v>3</v>
      </c>
      <c r="J232" s="11">
        <v>3.0379999999999998</v>
      </c>
      <c r="K232" s="11">
        <v>3.81</v>
      </c>
      <c r="L232" s="11">
        <v>3.0379999999999998</v>
      </c>
    </row>
    <row r="233" spans="1:12" x14ac:dyDescent="0.3">
      <c r="A233" s="2">
        <v>44882</v>
      </c>
      <c r="B233" s="11">
        <v>3946.56</v>
      </c>
      <c r="C233" s="11">
        <v>11144.96</v>
      </c>
      <c r="D233" s="11">
        <v>81.117199999999997</v>
      </c>
      <c r="E233" s="11">
        <v>2442.9</v>
      </c>
      <c r="F233" s="11">
        <v>737.54</v>
      </c>
      <c r="G233" s="11">
        <v>71.106099999999998</v>
      </c>
      <c r="H233" s="11">
        <v>84.752499999999998</v>
      </c>
      <c r="I233" s="11">
        <v>3</v>
      </c>
      <c r="J233" s="11">
        <v>3.04</v>
      </c>
      <c r="K233" s="11">
        <v>3.8</v>
      </c>
      <c r="L233" s="11">
        <v>3.0289999999999999</v>
      </c>
    </row>
    <row r="234" spans="1:12" x14ac:dyDescent="0.3">
      <c r="A234" s="2">
        <v>44883</v>
      </c>
      <c r="B234" s="11">
        <v>3965.34</v>
      </c>
      <c r="C234" s="11">
        <v>11146.06</v>
      </c>
      <c r="D234" s="11">
        <v>81.2761</v>
      </c>
      <c r="E234" s="11">
        <v>2444.48</v>
      </c>
      <c r="F234" s="11">
        <v>731.92</v>
      </c>
      <c r="G234" s="11">
        <v>71.027199999999993</v>
      </c>
      <c r="H234" s="11">
        <v>84.453800000000001</v>
      </c>
      <c r="I234" s="11">
        <v>3</v>
      </c>
      <c r="J234" s="11">
        <v>3.0379999999999998</v>
      </c>
      <c r="K234" s="11">
        <v>3.8</v>
      </c>
      <c r="L234" s="11">
        <v>3.0259999999999998</v>
      </c>
    </row>
    <row r="235" spans="1:12" x14ac:dyDescent="0.3">
      <c r="A235" s="2">
        <v>44886</v>
      </c>
      <c r="B235" s="11">
        <v>3949.94</v>
      </c>
      <c r="C235" s="11">
        <v>11024.51</v>
      </c>
      <c r="D235" s="11">
        <v>80.827399999999997</v>
      </c>
      <c r="E235" s="11">
        <v>2419.5</v>
      </c>
      <c r="F235" s="11">
        <v>718.57</v>
      </c>
      <c r="G235" s="11">
        <v>71.009699999999995</v>
      </c>
      <c r="H235" s="11">
        <v>84.4011</v>
      </c>
      <c r="I235" s="11">
        <v>3</v>
      </c>
      <c r="J235" s="11">
        <v>3.0579999999999998</v>
      </c>
      <c r="K235" s="11">
        <v>3.8</v>
      </c>
      <c r="L235" s="11">
        <v>3.0449999999999999</v>
      </c>
    </row>
    <row r="236" spans="1:12" x14ac:dyDescent="0.3">
      <c r="A236" s="2">
        <v>44887</v>
      </c>
      <c r="B236" s="11">
        <v>4003.58</v>
      </c>
      <c r="C236" s="11">
        <v>11174.41</v>
      </c>
      <c r="D236" s="11">
        <v>81.837000000000003</v>
      </c>
      <c r="E236" s="11">
        <v>2405.27</v>
      </c>
      <c r="F236" s="11">
        <v>712.26</v>
      </c>
      <c r="G236" s="11">
        <v>71.062299999999993</v>
      </c>
      <c r="H236" s="11">
        <v>84.884299999999996</v>
      </c>
      <c r="I236" s="11">
        <v>3</v>
      </c>
      <c r="J236" s="11">
        <v>3.0750000000000002</v>
      </c>
      <c r="K236" s="11">
        <v>3.8</v>
      </c>
      <c r="L236" s="11">
        <v>3.07</v>
      </c>
    </row>
    <row r="237" spans="1:12" x14ac:dyDescent="0.3">
      <c r="A237" s="2">
        <v>44888</v>
      </c>
      <c r="B237" s="11">
        <v>4027.26</v>
      </c>
      <c r="C237" s="11">
        <v>11285.32</v>
      </c>
      <c r="D237" s="11">
        <v>82.472700000000003</v>
      </c>
      <c r="E237" s="11">
        <v>2418.0100000000002</v>
      </c>
      <c r="F237" s="11">
        <v>725.59</v>
      </c>
      <c r="G237" s="11">
        <v>71.123599999999996</v>
      </c>
      <c r="H237" s="11">
        <v>85.341099999999997</v>
      </c>
      <c r="I237" s="11">
        <v>3</v>
      </c>
      <c r="J237" s="11">
        <v>3.0739999999999998</v>
      </c>
      <c r="K237" s="11">
        <v>3.79</v>
      </c>
      <c r="L237" s="11">
        <v>3.0819999999999999</v>
      </c>
    </row>
    <row r="238" spans="1:12" x14ac:dyDescent="0.3">
      <c r="A238" s="2">
        <v>44889</v>
      </c>
      <c r="B238" s="11">
        <v>4027.26</v>
      </c>
      <c r="C238" s="11">
        <v>11285.32</v>
      </c>
      <c r="D238" s="11">
        <v>82.472700000000003</v>
      </c>
      <c r="E238" s="11">
        <v>2441.33</v>
      </c>
      <c r="F238" s="11">
        <v>738.22</v>
      </c>
      <c r="G238" s="11">
        <v>71.123599999999996</v>
      </c>
      <c r="H238" s="11">
        <v>85.341099999999997</v>
      </c>
      <c r="I238" s="11">
        <v>3.25</v>
      </c>
      <c r="J238" s="11">
        <v>3.2570000000000001</v>
      </c>
      <c r="K238" s="11">
        <v>3.79</v>
      </c>
      <c r="L238" s="11">
        <v>3.274</v>
      </c>
    </row>
    <row r="239" spans="1:12" x14ac:dyDescent="0.3">
      <c r="A239" s="2">
        <v>44890</v>
      </c>
      <c r="B239" s="11">
        <v>4026.12</v>
      </c>
      <c r="C239" s="11">
        <v>11226.36</v>
      </c>
      <c r="D239" s="11">
        <v>82.5381</v>
      </c>
      <c r="E239" s="11">
        <v>2437.86</v>
      </c>
      <c r="F239" s="11">
        <v>733.56</v>
      </c>
      <c r="G239" s="11">
        <v>71.132300000000001</v>
      </c>
      <c r="H239" s="11">
        <v>85.314800000000005</v>
      </c>
      <c r="I239" s="11">
        <v>3.25</v>
      </c>
      <c r="J239" s="11">
        <v>3.2160000000000002</v>
      </c>
      <c r="K239" s="11">
        <v>3.8</v>
      </c>
      <c r="L239" s="11">
        <v>3.28</v>
      </c>
    </row>
    <row r="240" spans="1:12" x14ac:dyDescent="0.3">
      <c r="A240" s="2">
        <v>44893</v>
      </c>
      <c r="B240" s="11">
        <v>3963.94</v>
      </c>
      <c r="C240" s="11">
        <v>11049.5</v>
      </c>
      <c r="D240" s="11">
        <v>81.341499999999996</v>
      </c>
      <c r="E240" s="11">
        <v>2408.27</v>
      </c>
      <c r="F240" s="11">
        <v>717.9</v>
      </c>
      <c r="G240" s="11">
        <v>71.149900000000002</v>
      </c>
      <c r="H240" s="11">
        <v>85.349900000000005</v>
      </c>
      <c r="I240" s="11">
        <v>3.25</v>
      </c>
      <c r="J240" s="11">
        <v>3.1909999999999998</v>
      </c>
      <c r="K240" s="11">
        <v>3.8</v>
      </c>
      <c r="L240" s="11">
        <v>3.306</v>
      </c>
    </row>
    <row r="241" spans="1:12" x14ac:dyDescent="0.3">
      <c r="A241" s="2">
        <v>44894</v>
      </c>
      <c r="B241" s="11">
        <v>3957.63</v>
      </c>
      <c r="C241" s="11">
        <v>10983.78</v>
      </c>
      <c r="D241" s="11">
        <v>81.509799999999998</v>
      </c>
      <c r="E241" s="11">
        <v>2433.39</v>
      </c>
      <c r="F241" s="11">
        <v>727.54</v>
      </c>
      <c r="G241" s="11">
        <v>71.123599999999996</v>
      </c>
      <c r="H241" s="11">
        <v>84.989699999999999</v>
      </c>
      <c r="I241" s="11">
        <v>3.25</v>
      </c>
      <c r="J241" s="11">
        <v>3.1520000000000001</v>
      </c>
      <c r="K241" s="11">
        <v>3.81</v>
      </c>
      <c r="L241" s="11">
        <v>3.2570000000000001</v>
      </c>
    </row>
    <row r="242" spans="1:12" x14ac:dyDescent="0.3">
      <c r="A242" s="2">
        <v>44895</v>
      </c>
      <c r="B242" s="11">
        <v>4080.11</v>
      </c>
      <c r="C242" s="11">
        <v>11468</v>
      </c>
      <c r="D242" s="11">
        <v>83.828199999999995</v>
      </c>
      <c r="E242" s="11">
        <v>2472.5300000000002</v>
      </c>
      <c r="F242" s="11">
        <v>729.54</v>
      </c>
      <c r="G242" s="11">
        <v>71.333799999999997</v>
      </c>
      <c r="H242" s="11">
        <v>85.754000000000005</v>
      </c>
      <c r="I242" s="11">
        <v>3.25</v>
      </c>
      <c r="J242" s="11">
        <v>3.1549999999999998</v>
      </c>
      <c r="K242" s="11">
        <v>3.82</v>
      </c>
      <c r="L242" s="11">
        <v>3.3660000000000001</v>
      </c>
    </row>
    <row r="243" spans="1:12" x14ac:dyDescent="0.3">
      <c r="A243" s="2">
        <v>44896</v>
      </c>
      <c r="B243" s="11">
        <v>4076.57</v>
      </c>
      <c r="C243" s="11">
        <v>11482.45</v>
      </c>
      <c r="D243" s="11">
        <v>83.949799999999996</v>
      </c>
      <c r="E243" s="11">
        <v>2479.84</v>
      </c>
      <c r="F243" s="11">
        <v>740.6</v>
      </c>
      <c r="G243" s="11">
        <v>71.487899999999996</v>
      </c>
      <c r="H243" s="11">
        <v>86.690700000000007</v>
      </c>
      <c r="I243" s="11">
        <v>3.25</v>
      </c>
      <c r="J243" s="11">
        <v>3.137</v>
      </c>
      <c r="K243" s="11">
        <v>3.82</v>
      </c>
      <c r="L243" s="11">
        <v>3.2749999999999999</v>
      </c>
    </row>
    <row r="244" spans="1:12" x14ac:dyDescent="0.3">
      <c r="A244" s="2">
        <v>44897</v>
      </c>
      <c r="B244" s="11">
        <v>4071.7</v>
      </c>
      <c r="C244" s="11">
        <v>11461.5</v>
      </c>
      <c r="D244" s="11">
        <v>83.875</v>
      </c>
      <c r="E244" s="11">
        <v>2434.33</v>
      </c>
      <c r="F244" s="11">
        <v>732.95</v>
      </c>
      <c r="G244" s="11">
        <v>71.470299999999995</v>
      </c>
      <c r="H244" s="11">
        <v>86.866699999999994</v>
      </c>
      <c r="I244" s="11">
        <v>3.25</v>
      </c>
      <c r="J244" s="11">
        <v>3.0459999999999998</v>
      </c>
      <c r="K244" s="11">
        <v>3.81</v>
      </c>
      <c r="L244" s="11">
        <v>3.2170000000000001</v>
      </c>
    </row>
    <row r="245" spans="1:12" x14ac:dyDescent="0.3">
      <c r="A245" s="2">
        <v>44900</v>
      </c>
      <c r="B245" s="11">
        <v>3998.84</v>
      </c>
      <c r="C245" s="11">
        <v>11239.94</v>
      </c>
      <c r="D245" s="11">
        <v>82.444699999999997</v>
      </c>
      <c r="E245" s="11">
        <v>2419.3200000000002</v>
      </c>
      <c r="F245" s="11">
        <v>733.32</v>
      </c>
      <c r="G245" s="11">
        <v>71.2684</v>
      </c>
      <c r="H245" s="11">
        <v>85.986500000000007</v>
      </c>
      <c r="I245" s="11">
        <v>3.25</v>
      </c>
      <c r="J245" s="11">
        <v>3.016</v>
      </c>
      <c r="K245" s="11">
        <v>3.81</v>
      </c>
      <c r="L245" s="11">
        <v>3.2240000000000002</v>
      </c>
    </row>
    <row r="246" spans="1:12" x14ac:dyDescent="0.3">
      <c r="A246" s="2">
        <v>44901</v>
      </c>
      <c r="B246" s="11">
        <v>3941.26</v>
      </c>
      <c r="C246" s="11">
        <v>11014.89</v>
      </c>
      <c r="D246" s="11">
        <v>81.565899999999999</v>
      </c>
      <c r="E246" s="11">
        <v>2393.16</v>
      </c>
      <c r="F246" s="11">
        <v>719.44</v>
      </c>
      <c r="G246" s="11">
        <v>71.347399999999993</v>
      </c>
      <c r="H246" s="11">
        <v>86.514600000000002</v>
      </c>
      <c r="I246" s="11">
        <v>3.25</v>
      </c>
      <c r="J246" s="11">
        <v>3.0609999999999999</v>
      </c>
      <c r="K246" s="11">
        <v>3.8</v>
      </c>
      <c r="L246" s="11">
        <v>3.1629999999999998</v>
      </c>
    </row>
    <row r="247" spans="1:12" x14ac:dyDescent="0.3">
      <c r="A247" s="2">
        <v>44902</v>
      </c>
      <c r="B247" s="11">
        <v>3933.92</v>
      </c>
      <c r="C247" s="11">
        <v>10958.55</v>
      </c>
      <c r="D247" s="11">
        <v>81.416300000000007</v>
      </c>
      <c r="E247" s="11">
        <v>2382.81</v>
      </c>
      <c r="F247" s="11">
        <v>718.14</v>
      </c>
      <c r="G247" s="11">
        <v>71.496700000000004</v>
      </c>
      <c r="H247" s="11">
        <v>87.271699999999996</v>
      </c>
      <c r="I247" s="11">
        <v>3.25</v>
      </c>
      <c r="J247" s="11">
        <v>3.06</v>
      </c>
      <c r="K247" s="11">
        <v>3.8</v>
      </c>
      <c r="L247" s="11">
        <v>3.2349999999999999</v>
      </c>
    </row>
    <row r="248" spans="1:12" x14ac:dyDescent="0.3">
      <c r="A248" s="2">
        <v>44903</v>
      </c>
      <c r="B248" s="11">
        <v>3963.51</v>
      </c>
      <c r="C248" s="11">
        <v>11082</v>
      </c>
      <c r="D248" s="11">
        <v>82.042699999999996</v>
      </c>
      <c r="E248" s="11">
        <v>2371.08</v>
      </c>
      <c r="F248" s="11">
        <v>712.52</v>
      </c>
      <c r="G248" s="11">
        <v>71.426400000000001</v>
      </c>
      <c r="H248" s="11">
        <v>86.778700000000001</v>
      </c>
      <c r="I248" s="11">
        <v>3.25</v>
      </c>
      <c r="J248" s="11">
        <v>3.298</v>
      </c>
      <c r="K248" s="11">
        <v>3.8</v>
      </c>
      <c r="L248" s="11">
        <v>3.2949999999999999</v>
      </c>
    </row>
    <row r="249" spans="1:12" x14ac:dyDescent="0.3">
      <c r="A249" s="2">
        <v>44904</v>
      </c>
      <c r="B249" s="11">
        <v>3934.38</v>
      </c>
      <c r="C249" s="11">
        <v>11004.62</v>
      </c>
      <c r="D249" s="11">
        <v>81.650000000000006</v>
      </c>
      <c r="E249" s="11">
        <v>2389.04</v>
      </c>
      <c r="F249" s="11">
        <v>719.49</v>
      </c>
      <c r="G249" s="11">
        <v>71.391300000000001</v>
      </c>
      <c r="H249" s="11">
        <v>86.136099999999999</v>
      </c>
      <c r="I249" s="11">
        <v>3.25</v>
      </c>
      <c r="J249" s="11">
        <v>3.2949999999999999</v>
      </c>
      <c r="K249" s="11">
        <v>3.8</v>
      </c>
      <c r="L249" s="11">
        <v>3.2909999999999999</v>
      </c>
    </row>
    <row r="250" spans="1:12" x14ac:dyDescent="0.3">
      <c r="A250" s="2">
        <v>44907</v>
      </c>
      <c r="B250" s="11">
        <v>3990.56</v>
      </c>
      <c r="C250" s="11">
        <v>11143.74</v>
      </c>
      <c r="D250" s="11">
        <v>82.379199999999997</v>
      </c>
      <c r="E250" s="11">
        <v>2373.02</v>
      </c>
      <c r="F250" s="11">
        <v>715.22</v>
      </c>
      <c r="G250" s="11">
        <v>71.347399999999993</v>
      </c>
      <c r="H250" s="11">
        <v>86.012900000000002</v>
      </c>
      <c r="I250" s="11">
        <v>3.25</v>
      </c>
      <c r="J250" s="11">
        <v>3.274</v>
      </c>
      <c r="K250" s="11">
        <v>3.8</v>
      </c>
      <c r="L250" s="11">
        <v>3.282</v>
      </c>
    </row>
    <row r="251" spans="1:12" x14ac:dyDescent="0.3">
      <c r="A251" s="2">
        <v>44908</v>
      </c>
      <c r="B251" s="11">
        <v>4019.65</v>
      </c>
      <c r="C251" s="11">
        <v>11256.81</v>
      </c>
      <c r="D251" s="11">
        <v>83.138900000000007</v>
      </c>
      <c r="E251" s="11">
        <v>2372.4</v>
      </c>
      <c r="F251" s="11">
        <v>715.16</v>
      </c>
      <c r="G251" s="11">
        <v>71.558099999999996</v>
      </c>
      <c r="H251" s="11">
        <v>86.787499999999994</v>
      </c>
      <c r="I251" s="11">
        <v>3.25</v>
      </c>
      <c r="J251" s="11">
        <v>3.25</v>
      </c>
      <c r="K251" s="11">
        <v>3.8</v>
      </c>
      <c r="L251" s="11">
        <v>3.2360000000000002</v>
      </c>
    </row>
    <row r="252" spans="1:12" x14ac:dyDescent="0.3">
      <c r="A252" s="2">
        <v>44909</v>
      </c>
      <c r="B252" s="11">
        <v>3995.32</v>
      </c>
      <c r="C252" s="11">
        <v>11170.89</v>
      </c>
      <c r="D252" s="11">
        <v>82.818600000000004</v>
      </c>
      <c r="E252" s="11">
        <v>2399.25</v>
      </c>
      <c r="F252" s="11">
        <v>729</v>
      </c>
      <c r="G252" s="11">
        <v>71.566900000000004</v>
      </c>
      <c r="H252" s="11">
        <v>87.025199999999998</v>
      </c>
      <c r="I252" s="11">
        <v>3.25</v>
      </c>
      <c r="J252" s="11">
        <v>3.2309999999999999</v>
      </c>
      <c r="K252" s="11">
        <v>3.8</v>
      </c>
      <c r="L252" s="11">
        <v>3.2290000000000001</v>
      </c>
    </row>
    <row r="253" spans="1:12" x14ac:dyDescent="0.3">
      <c r="A253" s="2">
        <v>44910</v>
      </c>
      <c r="B253" s="11">
        <v>3895.75</v>
      </c>
      <c r="C253" s="11">
        <v>10810.53</v>
      </c>
      <c r="D253" s="11">
        <v>80.783699999999996</v>
      </c>
      <c r="E253" s="11">
        <v>2360.9699999999998</v>
      </c>
      <c r="F253" s="11">
        <v>722.68</v>
      </c>
      <c r="G253" s="11">
        <v>71.576300000000003</v>
      </c>
      <c r="H253" s="11">
        <v>87.194400000000002</v>
      </c>
      <c r="I253" s="11">
        <v>3.25</v>
      </c>
      <c r="J253" s="11">
        <v>3.1789999999999998</v>
      </c>
      <c r="K253" s="11">
        <v>4.32</v>
      </c>
      <c r="L253" s="11">
        <v>3.23</v>
      </c>
    </row>
    <row r="254" spans="1:12" x14ac:dyDescent="0.3">
      <c r="A254" s="2">
        <v>44911</v>
      </c>
      <c r="B254" s="11">
        <v>3852.36</v>
      </c>
      <c r="C254" s="11">
        <v>10705.41</v>
      </c>
      <c r="D254" s="11">
        <v>80.001800000000003</v>
      </c>
      <c r="E254" s="11">
        <v>2360.02</v>
      </c>
      <c r="F254" s="11">
        <v>717.41</v>
      </c>
      <c r="G254" s="11">
        <v>71.646600000000007</v>
      </c>
      <c r="H254" s="11">
        <v>86.9739</v>
      </c>
      <c r="I254" s="11">
        <v>3.25</v>
      </c>
      <c r="J254" s="11">
        <v>3.1389999999999998</v>
      </c>
      <c r="K254" s="11">
        <v>4.32</v>
      </c>
      <c r="L254" s="11">
        <v>3.2360000000000002</v>
      </c>
    </row>
    <row r="255" spans="1:12" x14ac:dyDescent="0.3">
      <c r="A255" s="2">
        <v>44914</v>
      </c>
      <c r="B255" s="11">
        <v>3817.66</v>
      </c>
      <c r="C255" s="11">
        <v>10546.03</v>
      </c>
      <c r="D255" s="11">
        <v>79.511899999999997</v>
      </c>
      <c r="E255" s="11">
        <v>2352.17</v>
      </c>
      <c r="F255" s="11">
        <v>717.22</v>
      </c>
      <c r="G255" s="11">
        <v>71.558700000000002</v>
      </c>
      <c r="H255" s="11">
        <v>86.268299999999996</v>
      </c>
      <c r="I255" s="11">
        <v>3.25</v>
      </c>
      <c r="J255" s="11">
        <v>3.1339999999999999</v>
      </c>
      <c r="K255" s="11">
        <v>4.3</v>
      </c>
      <c r="L255" s="11">
        <v>3.194</v>
      </c>
    </row>
    <row r="256" spans="1:12" x14ac:dyDescent="0.3">
      <c r="A256" s="2">
        <v>44915</v>
      </c>
      <c r="B256" s="11">
        <v>3821.62</v>
      </c>
      <c r="C256" s="11">
        <v>10547.11</v>
      </c>
      <c r="D256" s="11">
        <v>79.690899999999999</v>
      </c>
      <c r="E256" s="11">
        <v>2333.29</v>
      </c>
      <c r="F256" s="11">
        <v>703.13</v>
      </c>
      <c r="G256" s="11">
        <v>71.558700000000002</v>
      </c>
      <c r="H256" s="11">
        <v>85.641999999999996</v>
      </c>
      <c r="I256" s="11">
        <v>3.25</v>
      </c>
      <c r="J256" s="11">
        <v>3.1389999999999998</v>
      </c>
      <c r="K256" s="11">
        <v>4.3</v>
      </c>
      <c r="L256" s="11">
        <v>3.161</v>
      </c>
    </row>
    <row r="257" spans="1:12" x14ac:dyDescent="0.3">
      <c r="A257" s="2">
        <v>44916</v>
      </c>
      <c r="B257" s="11">
        <v>3878.44</v>
      </c>
      <c r="C257" s="11">
        <v>10709.37</v>
      </c>
      <c r="D257" s="11">
        <v>80.736599999999996</v>
      </c>
      <c r="E257" s="11">
        <v>2328.9499999999998</v>
      </c>
      <c r="F257" s="11">
        <v>705.7</v>
      </c>
      <c r="G257" s="11">
        <v>71.629000000000005</v>
      </c>
      <c r="H257" s="11">
        <v>85.747900000000001</v>
      </c>
      <c r="I257" s="11">
        <v>3.25</v>
      </c>
      <c r="J257" s="11">
        <v>3.129</v>
      </c>
      <c r="K257" s="11">
        <v>4.3</v>
      </c>
      <c r="L257" s="11">
        <v>3.2120000000000002</v>
      </c>
    </row>
    <row r="258" spans="1:12" x14ac:dyDescent="0.3">
      <c r="A258" s="2">
        <v>44917</v>
      </c>
      <c r="B258" s="11">
        <v>3822.39</v>
      </c>
      <c r="C258" s="11">
        <v>10476.120000000001</v>
      </c>
      <c r="D258" s="11">
        <v>79.766300000000001</v>
      </c>
      <c r="E258" s="11">
        <v>2356.73</v>
      </c>
      <c r="F258" s="11">
        <v>715.02</v>
      </c>
      <c r="G258" s="11">
        <v>71.585099999999997</v>
      </c>
      <c r="H258" s="11">
        <v>85.721400000000003</v>
      </c>
      <c r="I258" s="11">
        <v>3.25</v>
      </c>
      <c r="J258" s="11">
        <v>3.1280000000000001</v>
      </c>
      <c r="K258" s="11">
        <v>4.3</v>
      </c>
      <c r="L258" s="11">
        <v>3.2080000000000002</v>
      </c>
    </row>
    <row r="259" spans="1:12" x14ac:dyDescent="0.3">
      <c r="A259" s="2">
        <v>44918</v>
      </c>
      <c r="B259" s="11">
        <v>3844.82</v>
      </c>
      <c r="C259" s="11">
        <v>10497.86</v>
      </c>
      <c r="D259" s="11">
        <v>80.133700000000005</v>
      </c>
      <c r="E259" s="11">
        <v>2313.69</v>
      </c>
      <c r="F259" s="11">
        <v>691.25</v>
      </c>
      <c r="G259" s="11">
        <v>71.549899999999994</v>
      </c>
      <c r="H259" s="11">
        <v>85.333299999999994</v>
      </c>
      <c r="I259" s="11">
        <v>3.25</v>
      </c>
      <c r="J259" s="11">
        <v>3.1539999999999999</v>
      </c>
      <c r="K259" s="11">
        <v>4.3</v>
      </c>
      <c r="L259" s="11">
        <v>3.2440000000000002</v>
      </c>
    </row>
    <row r="260" spans="1:12" x14ac:dyDescent="0.3">
      <c r="A260" s="2">
        <v>44921</v>
      </c>
      <c r="B260" s="11">
        <v>3844.82</v>
      </c>
      <c r="C260" s="11">
        <v>10497.86</v>
      </c>
      <c r="D260" s="11">
        <v>80.133700000000005</v>
      </c>
      <c r="E260" s="11">
        <v>2317.14</v>
      </c>
      <c r="F260" s="11">
        <v>694.68</v>
      </c>
      <c r="G260" s="11">
        <v>71.549899999999994</v>
      </c>
      <c r="H260" s="11">
        <v>85.333299999999994</v>
      </c>
      <c r="I260" s="11">
        <v>3.25</v>
      </c>
      <c r="J260" s="11">
        <v>3.153</v>
      </c>
      <c r="K260" s="11">
        <v>4.3</v>
      </c>
      <c r="L260" s="11">
        <v>3.2690000000000001</v>
      </c>
    </row>
    <row r="261" spans="1:12" x14ac:dyDescent="0.3">
      <c r="A261" s="2">
        <v>44922</v>
      </c>
      <c r="B261" s="11">
        <v>3829.25</v>
      </c>
      <c r="C261" s="11">
        <v>10353.23</v>
      </c>
      <c r="D261" s="11">
        <v>80.105400000000003</v>
      </c>
      <c r="E261" s="11">
        <v>2332.79</v>
      </c>
      <c r="F261" s="11">
        <v>704.19</v>
      </c>
      <c r="G261" s="11">
        <v>71.453100000000006</v>
      </c>
      <c r="H261" s="11">
        <v>84.618899999999996</v>
      </c>
      <c r="I261" s="11">
        <v>3.25</v>
      </c>
      <c r="J261" s="11">
        <v>3.153</v>
      </c>
      <c r="K261" s="11">
        <v>4.3</v>
      </c>
      <c r="L261" s="11">
        <v>3.2519999999999998</v>
      </c>
    </row>
    <row r="262" spans="1:12" x14ac:dyDescent="0.3">
      <c r="A262" s="2">
        <v>44923</v>
      </c>
      <c r="B262" s="11">
        <v>3783.22</v>
      </c>
      <c r="C262" s="11">
        <v>10213.290000000001</v>
      </c>
      <c r="D262" s="11">
        <v>79.069100000000006</v>
      </c>
      <c r="E262" s="11">
        <v>2280.4499999999998</v>
      </c>
      <c r="F262" s="11">
        <v>692.37</v>
      </c>
      <c r="G262" s="11">
        <v>71.453100000000006</v>
      </c>
      <c r="H262" s="11">
        <v>84.4161</v>
      </c>
      <c r="I262" s="11">
        <v>3.25</v>
      </c>
      <c r="J262" s="11">
        <v>3.16</v>
      </c>
      <c r="K262" s="11">
        <v>4.3</v>
      </c>
      <c r="L262" s="11">
        <v>3.1869999999999998</v>
      </c>
    </row>
    <row r="263" spans="1:12" x14ac:dyDescent="0.3">
      <c r="A263" s="2">
        <v>44924</v>
      </c>
      <c r="B263" s="11">
        <v>3849.28</v>
      </c>
      <c r="C263" s="11">
        <v>10478.09</v>
      </c>
      <c r="D263" s="11">
        <v>80.444599999999994</v>
      </c>
      <c r="E263" s="11">
        <v>2236.4</v>
      </c>
      <c r="F263" s="11">
        <v>679.29</v>
      </c>
      <c r="G263" s="11">
        <v>71.505899999999997</v>
      </c>
      <c r="H263" s="11">
        <v>84.830600000000004</v>
      </c>
      <c r="I263" s="11">
        <v>3.25</v>
      </c>
      <c r="J263" s="11">
        <v>3.2090000000000001</v>
      </c>
      <c r="K263" s="11">
        <v>4.3</v>
      </c>
      <c r="L263" s="11">
        <v>3.2120000000000002</v>
      </c>
    </row>
    <row r="264" spans="1:12" x14ac:dyDescent="0.3">
      <c r="A264" s="2">
        <v>44925</v>
      </c>
      <c r="B264" s="11">
        <v>3839.5</v>
      </c>
      <c r="C264" s="11">
        <v>10466.48</v>
      </c>
      <c r="D264" s="11">
        <v>79.964100000000002</v>
      </c>
      <c r="E264" s="11">
        <v>2236.4</v>
      </c>
      <c r="F264" s="11">
        <v>679.29</v>
      </c>
      <c r="G264" s="11">
        <v>71.417900000000003</v>
      </c>
      <c r="H264" s="11">
        <v>84.477800000000002</v>
      </c>
      <c r="I264" s="11">
        <v>3.25</v>
      </c>
      <c r="J264" s="11">
        <v>3.4790000000000001</v>
      </c>
      <c r="K264" s="11">
        <v>4.3</v>
      </c>
      <c r="L264" s="11">
        <v>3.38</v>
      </c>
    </row>
    <row r="265" spans="1:12" x14ac:dyDescent="0.3">
      <c r="A265" s="2">
        <v>44928</v>
      </c>
      <c r="B265" s="11">
        <v>3839.5</v>
      </c>
      <c r="C265" s="11">
        <v>10466.48</v>
      </c>
      <c r="D265" s="11">
        <v>79.964100000000002</v>
      </c>
      <c r="E265" s="11">
        <v>2225.67</v>
      </c>
      <c r="F265" s="11">
        <v>671.51</v>
      </c>
      <c r="G265" s="11">
        <v>71.417900000000003</v>
      </c>
      <c r="H265" s="11">
        <v>84.477800000000002</v>
      </c>
      <c r="I265" s="11">
        <v>3.25</v>
      </c>
      <c r="J265" s="11">
        <v>3.1890000000000001</v>
      </c>
      <c r="K265" s="11">
        <v>4.3</v>
      </c>
      <c r="L265" s="11">
        <v>3.2909999999999999</v>
      </c>
    </row>
    <row r="266" spans="1:12" x14ac:dyDescent="0.3">
      <c r="A266" s="2">
        <v>44929</v>
      </c>
      <c r="B266" s="11">
        <v>3824.14</v>
      </c>
      <c r="C266" s="11">
        <v>10386.98</v>
      </c>
      <c r="D266" s="11">
        <v>79.982900000000001</v>
      </c>
      <c r="E266" s="11">
        <v>2218.6799999999998</v>
      </c>
      <c r="F266" s="11">
        <v>674.95</v>
      </c>
      <c r="G266" s="11">
        <v>71.479500000000002</v>
      </c>
      <c r="H266" s="11">
        <v>85.139300000000006</v>
      </c>
      <c r="I266" s="11">
        <v>3.25</v>
      </c>
      <c r="J266" s="11">
        <v>2.9809999999999999</v>
      </c>
      <c r="K266" s="11">
        <v>4.3099999999999996</v>
      </c>
      <c r="L266" s="11">
        <v>3.1190000000000002</v>
      </c>
    </row>
    <row r="267" spans="1:12" x14ac:dyDescent="0.3">
      <c r="A267" s="2">
        <v>44930</v>
      </c>
      <c r="B267" s="11">
        <v>3852.97</v>
      </c>
      <c r="C267" s="11">
        <v>10458.76</v>
      </c>
      <c r="D267" s="11">
        <v>81.000399999999999</v>
      </c>
      <c r="E267" s="11">
        <v>2255.98</v>
      </c>
      <c r="F267" s="11">
        <v>683.67</v>
      </c>
      <c r="G267" s="11">
        <v>71.549899999999994</v>
      </c>
      <c r="H267" s="11">
        <v>85.792000000000002</v>
      </c>
      <c r="I267" s="11">
        <v>3.25</v>
      </c>
      <c r="J267" s="11">
        <v>2.9540000000000002</v>
      </c>
      <c r="K267" s="11">
        <v>4.3</v>
      </c>
      <c r="L267" s="11">
        <v>3.032</v>
      </c>
    </row>
    <row r="268" spans="1:12" x14ac:dyDescent="0.3">
      <c r="A268" s="2">
        <v>44931</v>
      </c>
      <c r="B268" s="11">
        <v>3808.1</v>
      </c>
      <c r="C268" s="11">
        <v>10305.24</v>
      </c>
      <c r="D268" s="11">
        <v>80.171400000000006</v>
      </c>
      <c r="E268" s="11">
        <v>2264.65</v>
      </c>
      <c r="F268" s="11">
        <v>679.92</v>
      </c>
      <c r="G268" s="11">
        <v>71.453100000000006</v>
      </c>
      <c r="H268" s="11">
        <v>85.668499999999995</v>
      </c>
      <c r="I268" s="11">
        <v>3.25</v>
      </c>
      <c r="J268" s="11">
        <v>2.9249999999999998</v>
      </c>
      <c r="K268" s="11">
        <v>4.3099999999999996</v>
      </c>
      <c r="L268" s="11">
        <v>3.0750000000000002</v>
      </c>
    </row>
    <row r="269" spans="1:12" x14ac:dyDescent="0.3">
      <c r="A269" s="2">
        <v>44932</v>
      </c>
      <c r="B269" s="11">
        <v>3895.08</v>
      </c>
      <c r="C269" s="11">
        <v>10569.29</v>
      </c>
      <c r="D269" s="11">
        <v>82.027299999999997</v>
      </c>
      <c r="E269" s="11">
        <v>2289.9699999999998</v>
      </c>
      <c r="F269" s="11">
        <v>688.94</v>
      </c>
      <c r="G269" s="11">
        <v>71.725800000000007</v>
      </c>
      <c r="H269" s="11">
        <v>86.771000000000001</v>
      </c>
      <c r="I269" s="11">
        <v>3.25</v>
      </c>
      <c r="J269" s="11">
        <v>2.9289999999999998</v>
      </c>
      <c r="K269" s="11">
        <v>4.3099999999999996</v>
      </c>
      <c r="L269" s="11">
        <v>3.1179999999999999</v>
      </c>
    </row>
    <row r="270" spans="1:12" x14ac:dyDescent="0.3">
      <c r="A270" s="2">
        <v>44935</v>
      </c>
      <c r="B270" s="11">
        <v>3892.09</v>
      </c>
      <c r="C270" s="11">
        <v>10635.65</v>
      </c>
      <c r="D270" s="11">
        <v>82.206299999999999</v>
      </c>
      <c r="E270" s="11">
        <v>2350.19</v>
      </c>
      <c r="F270" s="11">
        <v>701.21</v>
      </c>
      <c r="G270" s="11">
        <v>71.796199999999999</v>
      </c>
      <c r="H270" s="11">
        <v>86.991500000000002</v>
      </c>
      <c r="I270" s="11">
        <v>3.25</v>
      </c>
      <c r="J270" s="11">
        <v>2.9260000000000002</v>
      </c>
      <c r="K270" s="11">
        <v>4.3099999999999996</v>
      </c>
      <c r="L270" s="11">
        <v>3.1320000000000001</v>
      </c>
    </row>
    <row r="271" spans="1:12" x14ac:dyDescent="0.3">
      <c r="A271" s="2">
        <v>44936</v>
      </c>
      <c r="B271" s="11">
        <v>3919.25</v>
      </c>
      <c r="C271" s="11">
        <v>10742.63</v>
      </c>
      <c r="D271" s="11">
        <v>82.667900000000003</v>
      </c>
      <c r="E271" s="11">
        <v>2351.31</v>
      </c>
      <c r="F271" s="11">
        <v>696.05</v>
      </c>
      <c r="G271" s="11">
        <v>71.7346</v>
      </c>
      <c r="H271" s="11">
        <v>86.444699999999997</v>
      </c>
      <c r="I271" s="11">
        <v>3.25</v>
      </c>
      <c r="J271" s="11">
        <v>3</v>
      </c>
      <c r="K271" s="11">
        <v>4.3099999999999996</v>
      </c>
      <c r="L271" s="11">
        <v>3.1659999999999999</v>
      </c>
    </row>
    <row r="272" spans="1:12" x14ac:dyDescent="0.3">
      <c r="A272" s="2">
        <v>44937</v>
      </c>
      <c r="B272" s="11">
        <v>3969.61</v>
      </c>
      <c r="C272" s="11">
        <v>10931.67</v>
      </c>
      <c r="D272" s="11">
        <v>83.534599999999998</v>
      </c>
      <c r="E272" s="11">
        <v>2359.5300000000002</v>
      </c>
      <c r="F272" s="11">
        <v>709.77</v>
      </c>
      <c r="G272" s="11">
        <v>71.796199999999999</v>
      </c>
      <c r="H272" s="11">
        <v>87.000299999999996</v>
      </c>
      <c r="I272" s="11">
        <v>3.25</v>
      </c>
      <c r="J272" s="11">
        <v>3</v>
      </c>
      <c r="K272" s="11">
        <v>4.3</v>
      </c>
      <c r="L272" s="11">
        <v>3.2320000000000002</v>
      </c>
    </row>
    <row r="273" spans="1:12" x14ac:dyDescent="0.3">
      <c r="A273" s="2">
        <v>44938</v>
      </c>
      <c r="B273" s="11">
        <v>3983.17</v>
      </c>
      <c r="C273" s="11">
        <v>11001.1</v>
      </c>
      <c r="D273" s="11">
        <v>84.118700000000004</v>
      </c>
      <c r="E273" s="11">
        <v>2365.1</v>
      </c>
      <c r="F273" s="11">
        <v>710.82</v>
      </c>
      <c r="G273" s="11">
        <v>71.954599999999999</v>
      </c>
      <c r="H273" s="11">
        <v>87.776499999999999</v>
      </c>
      <c r="I273" s="11">
        <v>3.25</v>
      </c>
      <c r="J273" s="11">
        <v>3.2589999999999999</v>
      </c>
      <c r="K273" s="11">
        <v>4.3</v>
      </c>
      <c r="L273" s="11">
        <v>3.2989999999999999</v>
      </c>
    </row>
    <row r="274" spans="1:12" x14ac:dyDescent="0.3">
      <c r="A274" s="2">
        <v>44939</v>
      </c>
      <c r="B274" s="11">
        <v>3999.09</v>
      </c>
      <c r="C274" s="11">
        <v>11079.16</v>
      </c>
      <c r="D274" s="11">
        <v>84.495500000000007</v>
      </c>
      <c r="E274" s="11">
        <v>2386.09</v>
      </c>
      <c r="F274" s="11">
        <v>711.82</v>
      </c>
      <c r="G274" s="11">
        <v>71.831400000000002</v>
      </c>
      <c r="H274" s="11">
        <v>87.308999999999997</v>
      </c>
      <c r="I274" s="11">
        <v>3.5</v>
      </c>
      <c r="J274" s="11">
        <v>3.468</v>
      </c>
      <c r="K274" s="11">
        <v>4.3</v>
      </c>
      <c r="L274" s="11">
        <v>3.427</v>
      </c>
    </row>
    <row r="275" spans="1:12" x14ac:dyDescent="0.3">
      <c r="A275" s="2">
        <v>44942</v>
      </c>
      <c r="B275" s="11">
        <v>3999.09</v>
      </c>
      <c r="C275" s="11">
        <v>11079.16</v>
      </c>
      <c r="D275" s="11">
        <v>84.495500000000007</v>
      </c>
      <c r="E275" s="11">
        <v>2399.86</v>
      </c>
      <c r="F275" s="11">
        <v>716.89</v>
      </c>
      <c r="G275" s="11">
        <v>71.831400000000002</v>
      </c>
      <c r="H275" s="11">
        <v>87.308999999999997</v>
      </c>
      <c r="I275" s="11">
        <v>3.5</v>
      </c>
      <c r="J275" s="11">
        <v>3.4239999999999999</v>
      </c>
      <c r="K275" s="11">
        <v>4.3</v>
      </c>
      <c r="L275" s="11">
        <v>3.3940000000000001</v>
      </c>
    </row>
    <row r="276" spans="1:12" x14ac:dyDescent="0.3">
      <c r="A276" s="2">
        <v>44943</v>
      </c>
      <c r="B276" s="11">
        <v>3990.97</v>
      </c>
      <c r="C276" s="11">
        <v>11095.11</v>
      </c>
      <c r="D276" s="11">
        <v>84.438999999999993</v>
      </c>
      <c r="E276" s="11">
        <v>2379.39</v>
      </c>
      <c r="F276" s="11">
        <v>709.71</v>
      </c>
      <c r="G276" s="11">
        <v>71.875399999999999</v>
      </c>
      <c r="H276" s="11">
        <v>87.035600000000002</v>
      </c>
      <c r="I276" s="11">
        <v>3.5</v>
      </c>
      <c r="J276" s="11">
        <v>3.4180000000000001</v>
      </c>
      <c r="K276" s="11">
        <v>4.3099999999999996</v>
      </c>
      <c r="L276" s="11">
        <v>3.3690000000000002</v>
      </c>
    </row>
    <row r="277" spans="1:12" x14ac:dyDescent="0.3">
      <c r="A277" s="2">
        <v>44944</v>
      </c>
      <c r="B277" s="11">
        <v>3928.86</v>
      </c>
      <c r="C277" s="11">
        <v>10957.01</v>
      </c>
      <c r="D277" s="11">
        <v>83.515799999999999</v>
      </c>
      <c r="E277" s="11">
        <v>2368.3200000000002</v>
      </c>
      <c r="F277" s="11">
        <v>711.75</v>
      </c>
      <c r="G277" s="11">
        <v>72.033799999999999</v>
      </c>
      <c r="H277" s="11">
        <v>88.217500000000001</v>
      </c>
      <c r="I277" s="11">
        <v>3.5</v>
      </c>
      <c r="J277" s="11">
        <v>3.3780000000000001</v>
      </c>
      <c r="K277" s="11">
        <v>4.3</v>
      </c>
      <c r="L277" s="11">
        <v>3.3650000000000002</v>
      </c>
    </row>
    <row r="278" spans="1:12" x14ac:dyDescent="0.3">
      <c r="A278" s="2">
        <v>44945</v>
      </c>
      <c r="B278" s="11">
        <v>3898.85</v>
      </c>
      <c r="C278" s="11">
        <v>10852.27</v>
      </c>
      <c r="D278" s="11">
        <v>83.186000000000007</v>
      </c>
      <c r="E278" s="11">
        <v>2380.34</v>
      </c>
      <c r="F278" s="11">
        <v>712.89</v>
      </c>
      <c r="G278" s="11">
        <v>72.016199999999998</v>
      </c>
      <c r="H278" s="11">
        <v>88.049899999999994</v>
      </c>
      <c r="I278" s="11">
        <v>3.5</v>
      </c>
      <c r="J278" s="11">
        <v>3.3849999999999998</v>
      </c>
      <c r="K278" s="11">
        <v>4.3099999999999996</v>
      </c>
      <c r="L278" s="11">
        <v>3.387</v>
      </c>
    </row>
    <row r="279" spans="1:12" x14ac:dyDescent="0.3">
      <c r="A279" s="2">
        <v>44946</v>
      </c>
      <c r="B279" s="11">
        <v>3972.61</v>
      </c>
      <c r="C279" s="11">
        <v>11140.43</v>
      </c>
      <c r="D279" s="11">
        <v>84.476699999999994</v>
      </c>
      <c r="E279" s="11">
        <v>2395.2600000000002</v>
      </c>
      <c r="F279" s="11">
        <v>717.97</v>
      </c>
      <c r="G279" s="11">
        <v>71.954599999999999</v>
      </c>
      <c r="H279" s="11">
        <v>87.467799999999997</v>
      </c>
      <c r="I279" s="11">
        <v>3.5</v>
      </c>
      <c r="J279" s="11">
        <v>3.508</v>
      </c>
      <c r="K279" s="11">
        <v>4.3</v>
      </c>
      <c r="L279" s="11">
        <v>3.48</v>
      </c>
    </row>
    <row r="280" spans="1:12" x14ac:dyDescent="0.3">
      <c r="A280" s="2">
        <v>44949</v>
      </c>
      <c r="B280" s="11">
        <v>4019.81</v>
      </c>
      <c r="C280" s="11">
        <v>11364.41</v>
      </c>
      <c r="D280" s="11">
        <v>85.2209</v>
      </c>
      <c r="E280" s="11">
        <v>2395.2600000000002</v>
      </c>
      <c r="F280" s="11">
        <v>717.97</v>
      </c>
      <c r="G280" s="11">
        <v>71.884200000000007</v>
      </c>
      <c r="H280" s="11">
        <v>87.185500000000005</v>
      </c>
      <c r="I280" s="11">
        <v>3.5</v>
      </c>
      <c r="J280" s="11">
        <v>3.508</v>
      </c>
      <c r="K280" s="11">
        <v>4.3</v>
      </c>
      <c r="L280" s="11">
        <v>3.5</v>
      </c>
    </row>
    <row r="281" spans="1:12" x14ac:dyDescent="0.3">
      <c r="A281" s="2">
        <v>44950</v>
      </c>
      <c r="B281" s="11">
        <v>4016.95</v>
      </c>
      <c r="C281" s="11">
        <v>11334.27</v>
      </c>
      <c r="D281" s="11">
        <v>85.107900000000001</v>
      </c>
      <c r="E281" s="11">
        <v>2395.2600000000002</v>
      </c>
      <c r="F281" s="11">
        <v>717.97</v>
      </c>
      <c r="G281" s="11">
        <v>71.910600000000002</v>
      </c>
      <c r="H281" s="11">
        <v>87.688299999999998</v>
      </c>
      <c r="I281" s="11">
        <v>3.5</v>
      </c>
      <c r="J281" s="11">
        <v>3.508</v>
      </c>
      <c r="K281" s="11">
        <v>4.3</v>
      </c>
      <c r="L281" s="11">
        <v>3.5</v>
      </c>
    </row>
    <row r="282" spans="1:12" x14ac:dyDescent="0.3">
      <c r="A282" s="2">
        <v>44951</v>
      </c>
      <c r="B282" s="11">
        <v>4016.22</v>
      </c>
      <c r="C282" s="11">
        <v>11313.36</v>
      </c>
      <c r="D282" s="11">
        <v>85.305700000000002</v>
      </c>
      <c r="E282" s="11">
        <v>2428.5700000000002</v>
      </c>
      <c r="F282" s="11">
        <v>732.35</v>
      </c>
      <c r="G282" s="11">
        <v>71.954599999999999</v>
      </c>
      <c r="H282" s="11">
        <v>87.785300000000007</v>
      </c>
      <c r="I282" s="11">
        <v>3.5</v>
      </c>
      <c r="J282" s="11">
        <v>3.4809999999999999</v>
      </c>
      <c r="K282" s="11">
        <v>4.3099999999999996</v>
      </c>
      <c r="L282" s="11">
        <v>3.4350000000000001</v>
      </c>
    </row>
    <row r="283" spans="1:12" x14ac:dyDescent="0.3">
      <c r="A283" s="2">
        <v>44952</v>
      </c>
      <c r="B283" s="11">
        <v>4060.43</v>
      </c>
      <c r="C283" s="11">
        <v>11512.41</v>
      </c>
      <c r="D283" s="11">
        <v>86.031099999999995</v>
      </c>
      <c r="E283" s="11">
        <v>2468.65</v>
      </c>
      <c r="F283" s="11">
        <v>738.94</v>
      </c>
      <c r="G283" s="11">
        <v>71.910600000000002</v>
      </c>
      <c r="H283" s="11">
        <v>87.467799999999997</v>
      </c>
      <c r="I283" s="11">
        <v>3.5</v>
      </c>
      <c r="J283" s="11">
        <v>3.476</v>
      </c>
      <c r="K283" s="11">
        <v>4.3</v>
      </c>
      <c r="L283" s="11">
        <v>3.4630000000000001</v>
      </c>
    </row>
    <row r="284" spans="1:12" x14ac:dyDescent="0.3">
      <c r="A284" s="2">
        <v>44953</v>
      </c>
      <c r="B284" s="11">
        <v>4070.56</v>
      </c>
      <c r="C284" s="11">
        <v>11621.71</v>
      </c>
      <c r="D284" s="11">
        <v>86.078199999999995</v>
      </c>
      <c r="E284" s="11">
        <v>2484.02</v>
      </c>
      <c r="F284" s="11">
        <v>741.25</v>
      </c>
      <c r="G284" s="11">
        <v>71.910600000000002</v>
      </c>
      <c r="H284" s="11">
        <v>87.335499999999996</v>
      </c>
      <c r="I284" s="11">
        <v>3.5</v>
      </c>
      <c r="J284" s="11">
        <v>3.3730000000000002</v>
      </c>
      <c r="K284" s="11">
        <v>4.3</v>
      </c>
      <c r="L284" s="11">
        <v>3.3570000000000002</v>
      </c>
    </row>
    <row r="285" spans="1:12" x14ac:dyDescent="0.3">
      <c r="A285" s="2">
        <v>44956</v>
      </c>
      <c r="B285" s="11">
        <v>4017.77</v>
      </c>
      <c r="C285" s="11">
        <v>11393.81</v>
      </c>
      <c r="D285" s="11">
        <v>85.041899999999998</v>
      </c>
      <c r="E285" s="11">
        <v>2450.4699999999998</v>
      </c>
      <c r="F285" s="11">
        <v>738.62</v>
      </c>
      <c r="G285" s="11">
        <v>71.840199999999996</v>
      </c>
      <c r="H285" s="11">
        <v>87.062100000000001</v>
      </c>
      <c r="I285" s="11">
        <v>3.5</v>
      </c>
      <c r="J285" s="11">
        <v>3.17</v>
      </c>
      <c r="K285" s="11">
        <v>4.3</v>
      </c>
      <c r="L285" s="11">
        <v>3.371</v>
      </c>
    </row>
    <row r="286" spans="1:12" x14ac:dyDescent="0.3">
      <c r="A286" s="2">
        <v>44957</v>
      </c>
      <c r="B286" s="11">
        <v>4076.6</v>
      </c>
      <c r="C286" s="11">
        <v>11584.55</v>
      </c>
      <c r="D286" s="11">
        <v>85.965199999999996</v>
      </c>
      <c r="E286" s="11">
        <v>2425.08</v>
      </c>
      <c r="F286" s="11">
        <v>740.49</v>
      </c>
      <c r="G286" s="11">
        <v>71.972200000000001</v>
      </c>
      <c r="H286" s="11">
        <v>87.503100000000003</v>
      </c>
      <c r="I286" s="11">
        <v>3.5</v>
      </c>
      <c r="J286" s="11">
        <v>3.1760000000000002</v>
      </c>
      <c r="K286" s="11">
        <v>4.3099999999999996</v>
      </c>
      <c r="L286" s="11">
        <v>3.343</v>
      </c>
    </row>
    <row r="287" spans="1:12" x14ac:dyDescent="0.3">
      <c r="A287" s="2">
        <v>44958</v>
      </c>
      <c r="B287" s="11">
        <v>4119.21</v>
      </c>
      <c r="C287" s="11">
        <v>11816.32</v>
      </c>
      <c r="D287" s="11">
        <v>86.841300000000004</v>
      </c>
      <c r="E287" s="11">
        <v>2449.8000000000002</v>
      </c>
      <c r="F287" s="11">
        <v>750.96</v>
      </c>
      <c r="G287" s="11">
        <v>72.097800000000007</v>
      </c>
      <c r="H287" s="11">
        <v>88.132599999999996</v>
      </c>
      <c r="I287" s="11">
        <v>3.5</v>
      </c>
      <c r="J287" s="11">
        <v>3.3090000000000002</v>
      </c>
      <c r="K287" s="11">
        <v>4.3099999999999996</v>
      </c>
      <c r="L287" s="11">
        <v>3.37</v>
      </c>
    </row>
    <row r="288" spans="1:12" x14ac:dyDescent="0.3">
      <c r="A288" s="2">
        <v>44959</v>
      </c>
      <c r="B288" s="11">
        <v>4179.76</v>
      </c>
      <c r="C288" s="11">
        <v>12200.82</v>
      </c>
      <c r="D288" s="11">
        <v>87.547899999999998</v>
      </c>
      <c r="E288" s="11">
        <v>2468.88</v>
      </c>
      <c r="F288" s="11">
        <v>764.62</v>
      </c>
      <c r="G288" s="11">
        <v>72.1066</v>
      </c>
      <c r="H288" s="11">
        <v>88.097200000000001</v>
      </c>
      <c r="I288" s="11">
        <v>3.5</v>
      </c>
      <c r="J288" s="11">
        <v>3.2080000000000002</v>
      </c>
      <c r="K288" s="11">
        <v>4.5599999999999996</v>
      </c>
      <c r="L288" s="11">
        <v>3.27</v>
      </c>
    </row>
    <row r="289" spans="1:12" x14ac:dyDescent="0.3">
      <c r="A289" s="2">
        <v>44960</v>
      </c>
      <c r="B289" s="11">
        <v>4136.4799999999996</v>
      </c>
      <c r="C289" s="11">
        <v>12006.96</v>
      </c>
      <c r="D289" s="11">
        <v>86.5398</v>
      </c>
      <c r="E289" s="11">
        <v>2480.4</v>
      </c>
      <c r="F289" s="11">
        <v>766.79</v>
      </c>
      <c r="G289" s="11">
        <v>71.842100000000002</v>
      </c>
      <c r="H289" s="11">
        <v>87.151499999999999</v>
      </c>
      <c r="I289" s="11">
        <v>3.5</v>
      </c>
      <c r="J289" s="11">
        <v>3.35</v>
      </c>
      <c r="K289" s="11">
        <v>4.55</v>
      </c>
      <c r="L289" s="11">
        <v>3.488</v>
      </c>
    </row>
    <row r="290" spans="1:12" x14ac:dyDescent="0.3">
      <c r="A290" s="2">
        <v>44963</v>
      </c>
      <c r="B290" s="11">
        <v>4111.08</v>
      </c>
      <c r="C290" s="11">
        <v>11887.45</v>
      </c>
      <c r="D290" s="11">
        <v>85.823899999999995</v>
      </c>
      <c r="E290" s="11">
        <v>2438.19</v>
      </c>
      <c r="F290" s="11">
        <v>761.33</v>
      </c>
      <c r="G290" s="11">
        <v>71.639399999999995</v>
      </c>
      <c r="H290" s="11">
        <v>86.400099999999995</v>
      </c>
      <c r="I290" s="11">
        <v>3.5</v>
      </c>
      <c r="J290" s="11">
        <v>3.3479999999999999</v>
      </c>
      <c r="K290" s="11">
        <v>4.55</v>
      </c>
      <c r="L290" s="11">
        <v>3.4870000000000001</v>
      </c>
    </row>
    <row r="291" spans="1:12" x14ac:dyDescent="0.3">
      <c r="A291" s="2">
        <v>44964</v>
      </c>
      <c r="B291" s="11">
        <v>4164</v>
      </c>
      <c r="C291" s="11">
        <v>12113.79</v>
      </c>
      <c r="D291" s="11">
        <v>86.737700000000004</v>
      </c>
      <c r="E291" s="11">
        <v>2451.71</v>
      </c>
      <c r="F291" s="11">
        <v>772.79</v>
      </c>
      <c r="G291" s="11">
        <v>71.674700000000001</v>
      </c>
      <c r="H291" s="11">
        <v>86.188000000000002</v>
      </c>
      <c r="I291" s="11">
        <v>3.5</v>
      </c>
      <c r="J291" s="11">
        <v>3.573</v>
      </c>
      <c r="K291" s="11">
        <v>4.55</v>
      </c>
      <c r="L291" s="11">
        <v>3.5059999999999998</v>
      </c>
    </row>
    <row r="292" spans="1:12" x14ac:dyDescent="0.3">
      <c r="A292" s="2">
        <v>44965</v>
      </c>
      <c r="B292" s="11">
        <v>4117.8599999999997</v>
      </c>
      <c r="C292" s="11">
        <v>11910.52</v>
      </c>
      <c r="D292" s="11">
        <v>85.993399999999994</v>
      </c>
      <c r="E292" s="11">
        <v>2483.64</v>
      </c>
      <c r="F292" s="11">
        <v>779.98</v>
      </c>
      <c r="G292" s="11">
        <v>71.701099999999997</v>
      </c>
      <c r="H292" s="11">
        <v>86.506200000000007</v>
      </c>
      <c r="I292" s="11">
        <v>3.5</v>
      </c>
      <c r="J292" s="11">
        <v>3.573</v>
      </c>
      <c r="K292" s="11">
        <v>4.55</v>
      </c>
      <c r="L292" s="11">
        <v>3.4830000000000001</v>
      </c>
    </row>
    <row r="293" spans="1:12" x14ac:dyDescent="0.3">
      <c r="A293" s="2">
        <v>44966</v>
      </c>
      <c r="B293" s="11">
        <v>4081.5</v>
      </c>
      <c r="C293" s="11">
        <v>11789.58</v>
      </c>
      <c r="D293" s="11">
        <v>85.616600000000005</v>
      </c>
      <c r="E293" s="11">
        <v>2481.52</v>
      </c>
      <c r="F293" s="11">
        <v>784.58</v>
      </c>
      <c r="G293" s="11">
        <v>71.648200000000003</v>
      </c>
      <c r="H293" s="11">
        <v>86.1173</v>
      </c>
      <c r="I293" s="11">
        <v>3.5</v>
      </c>
      <c r="J293" s="11">
        <v>3.4239999999999999</v>
      </c>
      <c r="K293" s="11">
        <v>4.55</v>
      </c>
      <c r="L293" s="11">
        <v>3.4340000000000002</v>
      </c>
    </row>
    <row r="294" spans="1:12" x14ac:dyDescent="0.3">
      <c r="A294" s="2">
        <v>44967</v>
      </c>
      <c r="B294" s="11">
        <v>4090.46</v>
      </c>
      <c r="C294" s="11">
        <v>11718.12</v>
      </c>
      <c r="D294" s="11">
        <v>85.541200000000003</v>
      </c>
      <c r="E294" s="11">
        <v>2469.73</v>
      </c>
      <c r="F294" s="11">
        <v>772.44</v>
      </c>
      <c r="G294" s="11">
        <v>71.613</v>
      </c>
      <c r="H294" s="11">
        <v>85.701899999999995</v>
      </c>
      <c r="I294" s="11">
        <v>3.5</v>
      </c>
      <c r="J294" s="11">
        <v>3.4329999999999998</v>
      </c>
      <c r="K294" s="11">
        <v>4.55</v>
      </c>
      <c r="L294" s="11">
        <v>3.399</v>
      </c>
    </row>
    <row r="295" spans="1:12" x14ac:dyDescent="0.3">
      <c r="A295" s="2">
        <v>44970</v>
      </c>
      <c r="B295" s="11">
        <v>4137.29</v>
      </c>
      <c r="C295" s="11">
        <v>11891.79</v>
      </c>
      <c r="D295" s="11">
        <v>86.445599999999999</v>
      </c>
      <c r="E295" s="11">
        <v>2452.6999999999998</v>
      </c>
      <c r="F295" s="11">
        <v>772.55</v>
      </c>
      <c r="G295" s="11">
        <v>71.630600000000001</v>
      </c>
      <c r="H295" s="11">
        <v>85.905199999999994</v>
      </c>
      <c r="I295" s="11">
        <v>3.5</v>
      </c>
      <c r="J295" s="11">
        <v>3.4380000000000002</v>
      </c>
      <c r="K295" s="11">
        <v>4.55</v>
      </c>
      <c r="L295" s="11">
        <v>3.4020000000000001</v>
      </c>
    </row>
    <row r="296" spans="1:12" x14ac:dyDescent="0.3">
      <c r="A296" s="2">
        <v>44971</v>
      </c>
      <c r="B296" s="11">
        <v>4136.13</v>
      </c>
      <c r="C296" s="11">
        <v>11960.15</v>
      </c>
      <c r="D296" s="11">
        <v>86.492699999999999</v>
      </c>
      <c r="E296" s="11">
        <v>2465.64</v>
      </c>
      <c r="F296" s="11">
        <v>779.58</v>
      </c>
      <c r="G296" s="11">
        <v>71.480699999999999</v>
      </c>
      <c r="H296" s="11">
        <v>85.516300000000001</v>
      </c>
      <c r="I296" s="11">
        <v>3.5</v>
      </c>
      <c r="J296" s="11">
        <v>3.3940000000000001</v>
      </c>
      <c r="K296" s="11">
        <v>4.55</v>
      </c>
      <c r="L296" s="11">
        <v>3.403</v>
      </c>
    </row>
    <row r="297" spans="1:12" x14ac:dyDescent="0.3">
      <c r="A297" s="2">
        <v>44972</v>
      </c>
      <c r="B297" s="11">
        <v>4147.6000000000004</v>
      </c>
      <c r="C297" s="11">
        <v>12070.59</v>
      </c>
      <c r="D297" s="11">
        <v>86.549300000000002</v>
      </c>
      <c r="E297" s="11">
        <v>2427.9</v>
      </c>
      <c r="F297" s="11">
        <v>765.46</v>
      </c>
      <c r="G297" s="11">
        <v>71.489500000000007</v>
      </c>
      <c r="H297" s="11">
        <v>85.259900000000002</v>
      </c>
      <c r="I297" s="11">
        <v>3.5</v>
      </c>
      <c r="J297" s="11">
        <v>3.3929999999999998</v>
      </c>
      <c r="K297" s="11">
        <v>4.55</v>
      </c>
      <c r="L297" s="11">
        <v>3.4279999999999999</v>
      </c>
    </row>
    <row r="298" spans="1:12" x14ac:dyDescent="0.3">
      <c r="A298" s="2">
        <v>44973</v>
      </c>
      <c r="B298" s="11">
        <v>4090.41</v>
      </c>
      <c r="C298" s="11">
        <v>11855.83</v>
      </c>
      <c r="D298" s="11">
        <v>85.673100000000005</v>
      </c>
      <c r="E298" s="11">
        <v>2475.48</v>
      </c>
      <c r="F298" s="11">
        <v>784.71</v>
      </c>
      <c r="G298" s="11">
        <v>71.498400000000004</v>
      </c>
      <c r="H298" s="11">
        <v>84.977099999999993</v>
      </c>
      <c r="I298" s="11">
        <v>3.5</v>
      </c>
      <c r="J298" s="11">
        <v>3.3879999999999999</v>
      </c>
      <c r="K298" s="11">
        <v>4.55</v>
      </c>
      <c r="L298" s="11">
        <v>3.3969999999999998</v>
      </c>
    </row>
    <row r="299" spans="1:12" x14ac:dyDescent="0.3">
      <c r="A299" s="2">
        <v>44974</v>
      </c>
      <c r="B299" s="11">
        <v>4079.09</v>
      </c>
      <c r="C299" s="11">
        <v>11787.27</v>
      </c>
      <c r="D299" s="11">
        <v>85.456400000000002</v>
      </c>
      <c r="E299" s="11">
        <v>2451.21</v>
      </c>
      <c r="F299" s="11">
        <v>775.62</v>
      </c>
      <c r="G299" s="11">
        <v>71.560100000000006</v>
      </c>
      <c r="H299" s="11">
        <v>85.215699999999998</v>
      </c>
      <c r="I299" s="11">
        <v>3.5</v>
      </c>
      <c r="J299" s="11">
        <v>3.3929999999999998</v>
      </c>
      <c r="K299" s="11">
        <v>4.55</v>
      </c>
      <c r="L299" s="11">
        <v>3.4359999999999999</v>
      </c>
    </row>
    <row r="300" spans="1:12" x14ac:dyDescent="0.3">
      <c r="A300" s="2">
        <v>44977</v>
      </c>
      <c r="B300" s="11">
        <v>4079.09</v>
      </c>
      <c r="C300" s="11">
        <v>11787.27</v>
      </c>
      <c r="D300" s="11">
        <v>85.456400000000002</v>
      </c>
      <c r="E300" s="11">
        <v>2455.12</v>
      </c>
      <c r="F300" s="11">
        <v>788.89</v>
      </c>
      <c r="G300" s="11">
        <v>71.560100000000006</v>
      </c>
      <c r="H300" s="11">
        <v>85.215699999999998</v>
      </c>
      <c r="I300" s="11">
        <v>3.5</v>
      </c>
      <c r="J300" s="11">
        <v>3.395</v>
      </c>
      <c r="K300" s="11">
        <v>4.55</v>
      </c>
      <c r="L300" s="11">
        <v>3.415</v>
      </c>
    </row>
    <row r="301" spans="1:12" x14ac:dyDescent="0.3">
      <c r="A301" s="2">
        <v>44978</v>
      </c>
      <c r="B301" s="11">
        <v>3997.34</v>
      </c>
      <c r="C301" s="11">
        <v>11492.3</v>
      </c>
      <c r="D301" s="11">
        <v>83.996200000000002</v>
      </c>
      <c r="E301" s="11">
        <v>2458.96</v>
      </c>
      <c r="F301" s="11">
        <v>793.42</v>
      </c>
      <c r="G301" s="11">
        <v>71.418999999999997</v>
      </c>
      <c r="H301" s="11">
        <v>84.287700000000001</v>
      </c>
      <c r="I301" s="11">
        <v>3.5</v>
      </c>
      <c r="J301" s="11">
        <v>3.3919999999999999</v>
      </c>
      <c r="K301" s="11">
        <v>4.55</v>
      </c>
      <c r="L301" s="11">
        <v>3.395</v>
      </c>
    </row>
    <row r="302" spans="1:12" x14ac:dyDescent="0.3">
      <c r="A302" s="2">
        <v>44979</v>
      </c>
      <c r="B302" s="11">
        <v>3991.05</v>
      </c>
      <c r="C302" s="11">
        <v>11507.07</v>
      </c>
      <c r="D302" s="11">
        <v>83.770099999999999</v>
      </c>
      <c r="E302" s="11">
        <v>2417.6799999999998</v>
      </c>
      <c r="F302" s="11">
        <v>778.51</v>
      </c>
      <c r="G302" s="11">
        <v>71.454300000000003</v>
      </c>
      <c r="H302" s="11">
        <v>84.437899999999999</v>
      </c>
      <c r="I302" s="11">
        <v>3.5</v>
      </c>
      <c r="J302" s="11">
        <v>3.3929999999999998</v>
      </c>
      <c r="K302" s="11">
        <v>4.55</v>
      </c>
      <c r="L302" s="11">
        <v>3.423</v>
      </c>
    </row>
    <row r="303" spans="1:12" x14ac:dyDescent="0.3">
      <c r="A303" s="2">
        <v>44980</v>
      </c>
      <c r="B303" s="11">
        <v>4012.32</v>
      </c>
      <c r="C303" s="11">
        <v>11590.4</v>
      </c>
      <c r="D303" s="11">
        <v>84.175200000000004</v>
      </c>
      <c r="E303" s="11">
        <v>2439.09</v>
      </c>
      <c r="F303" s="11">
        <v>783.28</v>
      </c>
      <c r="G303" s="11">
        <v>71.498400000000004</v>
      </c>
      <c r="H303" s="11">
        <v>84.765000000000001</v>
      </c>
      <c r="I303" s="11">
        <v>3.5</v>
      </c>
      <c r="J303" s="11">
        <v>3.4390000000000001</v>
      </c>
      <c r="K303" s="11">
        <v>4.55</v>
      </c>
      <c r="L303" s="11">
        <v>3.456</v>
      </c>
    </row>
    <row r="304" spans="1:12" x14ac:dyDescent="0.3">
      <c r="A304" s="2">
        <v>44981</v>
      </c>
      <c r="B304" s="11">
        <v>3970.04</v>
      </c>
      <c r="C304" s="11">
        <v>11394.94</v>
      </c>
      <c r="D304" s="11">
        <v>83.054100000000005</v>
      </c>
      <c r="E304" s="11">
        <v>2423.61</v>
      </c>
      <c r="F304" s="11">
        <v>778.88</v>
      </c>
      <c r="G304" s="11">
        <v>71.348500000000001</v>
      </c>
      <c r="H304" s="11">
        <v>84.252300000000005</v>
      </c>
      <c r="I304" s="11">
        <v>3.5</v>
      </c>
      <c r="J304" s="11">
        <v>3.4409999999999998</v>
      </c>
      <c r="K304" s="11">
        <v>4.55</v>
      </c>
      <c r="L304" s="11">
        <v>3.4319999999999999</v>
      </c>
    </row>
    <row r="305" spans="1:12" x14ac:dyDescent="0.3">
      <c r="A305" s="2">
        <v>44984</v>
      </c>
      <c r="B305" s="11">
        <v>3982.24</v>
      </c>
      <c r="C305" s="11">
        <v>11466.98</v>
      </c>
      <c r="D305" s="11">
        <v>83.543999999999997</v>
      </c>
      <c r="E305" s="11">
        <v>2402.64</v>
      </c>
      <c r="F305" s="11">
        <v>780.3</v>
      </c>
      <c r="G305" s="11">
        <v>71.410200000000003</v>
      </c>
      <c r="H305" s="11">
        <v>84.508600000000001</v>
      </c>
      <c r="I305" s="11">
        <v>3.5</v>
      </c>
      <c r="J305" s="11">
        <v>3.3969999999999998</v>
      </c>
      <c r="K305" s="11">
        <v>4.55</v>
      </c>
      <c r="L305" s="11">
        <v>3.4279999999999999</v>
      </c>
    </row>
    <row r="306" spans="1:12" x14ac:dyDescent="0.3">
      <c r="A306" s="2">
        <v>44985</v>
      </c>
      <c r="B306" s="11">
        <v>3970.15</v>
      </c>
      <c r="C306" s="11">
        <v>11455.54</v>
      </c>
      <c r="D306" s="11">
        <v>83.110699999999994</v>
      </c>
      <c r="E306" s="11">
        <v>2412.85</v>
      </c>
      <c r="F306" s="11">
        <v>791.6</v>
      </c>
      <c r="G306" s="11">
        <v>71.392600000000002</v>
      </c>
      <c r="H306" s="11">
        <v>84.641199999999998</v>
      </c>
      <c r="I306" s="11">
        <v>3.5</v>
      </c>
      <c r="J306" s="11">
        <v>3.4020000000000001</v>
      </c>
      <c r="K306" s="11">
        <v>4.55</v>
      </c>
      <c r="L306" s="11">
        <v>3.46</v>
      </c>
    </row>
    <row r="307" spans="1:12" x14ac:dyDescent="0.3">
      <c r="A307" s="2">
        <v>44986</v>
      </c>
      <c r="B307" s="11">
        <v>3951.39</v>
      </c>
      <c r="C307" s="11">
        <v>11379.48</v>
      </c>
      <c r="D307" s="11">
        <v>83.289699999999996</v>
      </c>
      <c r="E307" s="11">
        <v>2412.85</v>
      </c>
      <c r="F307" s="11">
        <v>791.6</v>
      </c>
      <c r="G307" s="11">
        <v>71.262100000000004</v>
      </c>
      <c r="H307" s="11">
        <v>83.964699999999993</v>
      </c>
      <c r="I307" s="11">
        <v>3.5</v>
      </c>
      <c r="J307" s="11">
        <v>3.4020000000000001</v>
      </c>
      <c r="K307" s="11">
        <v>4.55</v>
      </c>
      <c r="L307" s="11">
        <v>3.5</v>
      </c>
    </row>
    <row r="308" spans="1:12" x14ac:dyDescent="0.3">
      <c r="A308" s="2">
        <v>44987</v>
      </c>
      <c r="B308" s="11">
        <v>3981.35</v>
      </c>
      <c r="C308" s="11">
        <v>11462.98</v>
      </c>
      <c r="D308" s="11">
        <v>83.741900000000001</v>
      </c>
      <c r="E308" s="11">
        <v>2427.85</v>
      </c>
      <c r="F308" s="11">
        <v>787.19</v>
      </c>
      <c r="G308" s="11">
        <v>71.288600000000002</v>
      </c>
      <c r="H308" s="11">
        <v>83.619299999999996</v>
      </c>
      <c r="I308" s="11">
        <v>3.5</v>
      </c>
      <c r="J308" s="11">
        <v>3.3479999999999999</v>
      </c>
      <c r="K308" s="11">
        <v>4.55</v>
      </c>
      <c r="L308" s="11">
        <v>3.407</v>
      </c>
    </row>
    <row r="309" spans="1:12" x14ac:dyDescent="0.3">
      <c r="A309" s="2">
        <v>44988</v>
      </c>
      <c r="B309" s="11">
        <v>4045.64</v>
      </c>
      <c r="C309" s="11">
        <v>11689.01</v>
      </c>
      <c r="D309" s="11">
        <v>85.004199999999997</v>
      </c>
      <c r="E309" s="11">
        <v>2432.0700000000002</v>
      </c>
      <c r="F309" s="11">
        <v>802.42</v>
      </c>
      <c r="G309" s="11">
        <v>71.332800000000006</v>
      </c>
      <c r="H309" s="11">
        <v>84.292400000000001</v>
      </c>
      <c r="I309" s="11">
        <v>3.5</v>
      </c>
      <c r="J309" s="11">
        <v>3.3540000000000001</v>
      </c>
      <c r="K309" s="11">
        <v>4.55</v>
      </c>
      <c r="L309" s="11">
        <v>3.3660000000000001</v>
      </c>
    </row>
    <row r="310" spans="1:12" x14ac:dyDescent="0.3">
      <c r="A310" s="2">
        <v>44991</v>
      </c>
      <c r="B310" s="11">
        <v>4048.42</v>
      </c>
      <c r="C310" s="11">
        <v>11675.74</v>
      </c>
      <c r="D310" s="11">
        <v>84.947699999999998</v>
      </c>
      <c r="E310" s="11">
        <v>2462.62</v>
      </c>
      <c r="F310" s="11">
        <v>816.51</v>
      </c>
      <c r="G310" s="11">
        <v>71.297499999999999</v>
      </c>
      <c r="H310" s="11">
        <v>84.141900000000007</v>
      </c>
      <c r="I310" s="11">
        <v>3.5</v>
      </c>
      <c r="J310" s="11">
        <v>3.2429999999999999</v>
      </c>
      <c r="K310" s="11">
        <v>4.55</v>
      </c>
      <c r="L310" s="11">
        <v>3.3370000000000002</v>
      </c>
    </row>
    <row r="311" spans="1:12" x14ac:dyDescent="0.3">
      <c r="A311" s="2">
        <v>44992</v>
      </c>
      <c r="B311" s="11">
        <v>3986.37</v>
      </c>
      <c r="C311" s="11">
        <v>11530.33</v>
      </c>
      <c r="D311" s="11">
        <v>83.61</v>
      </c>
      <c r="E311" s="11">
        <v>2463.35</v>
      </c>
      <c r="F311" s="11">
        <v>815.76</v>
      </c>
      <c r="G311" s="11">
        <v>71.147300000000001</v>
      </c>
      <c r="H311" s="11">
        <v>84.150700000000001</v>
      </c>
      <c r="I311" s="11">
        <v>3.5</v>
      </c>
      <c r="J311" s="11">
        <v>3.3759999999999999</v>
      </c>
      <c r="K311" s="11">
        <v>4.55</v>
      </c>
      <c r="L311" s="11">
        <v>3.4279999999999999</v>
      </c>
    </row>
    <row r="312" spans="1:12" x14ac:dyDescent="0.3">
      <c r="A312" s="2">
        <v>44993</v>
      </c>
      <c r="B312" s="11">
        <v>3992.01</v>
      </c>
      <c r="C312" s="11">
        <v>11576</v>
      </c>
      <c r="D312" s="11">
        <v>83.789000000000001</v>
      </c>
      <c r="E312" s="11">
        <v>2431.91</v>
      </c>
      <c r="F312" s="11">
        <v>813.95</v>
      </c>
      <c r="G312" s="11">
        <v>71.111999999999995</v>
      </c>
      <c r="H312" s="11">
        <v>84.124099999999999</v>
      </c>
      <c r="I312" s="11">
        <v>3.5</v>
      </c>
      <c r="J312" s="11">
        <v>3.3759999999999999</v>
      </c>
      <c r="K312" s="11">
        <v>4.55</v>
      </c>
      <c r="L312" s="11">
        <v>3.4580000000000002</v>
      </c>
    </row>
    <row r="313" spans="1:12" x14ac:dyDescent="0.3">
      <c r="A313" s="2">
        <v>44994</v>
      </c>
      <c r="B313" s="11">
        <v>3918.32</v>
      </c>
      <c r="C313" s="11">
        <v>11338.35</v>
      </c>
      <c r="D313" s="11">
        <v>82.441800000000001</v>
      </c>
      <c r="E313" s="11">
        <v>2419.09</v>
      </c>
      <c r="F313" s="11">
        <v>809.22</v>
      </c>
      <c r="G313" s="11">
        <v>71.3416</v>
      </c>
      <c r="H313" s="11">
        <v>84.646699999999996</v>
      </c>
      <c r="I313" s="11">
        <v>3.5</v>
      </c>
      <c r="J313" s="11">
        <v>3.552</v>
      </c>
      <c r="K313" s="11">
        <v>4.55</v>
      </c>
      <c r="L313" s="11">
        <v>3.44</v>
      </c>
    </row>
    <row r="314" spans="1:12" x14ac:dyDescent="0.3">
      <c r="A314" s="2">
        <v>44995</v>
      </c>
      <c r="B314" s="11">
        <v>3861.59</v>
      </c>
      <c r="C314" s="11">
        <v>11138.89</v>
      </c>
      <c r="D314" s="11">
        <v>81.358400000000003</v>
      </c>
      <c r="E314" s="11">
        <v>2394.59</v>
      </c>
      <c r="F314" s="11">
        <v>788.6</v>
      </c>
      <c r="G314" s="11">
        <v>71.7303</v>
      </c>
      <c r="H314" s="11">
        <v>86.205500000000001</v>
      </c>
      <c r="I314" s="11">
        <v>3.5</v>
      </c>
      <c r="J314" s="11">
        <v>3.4420000000000002</v>
      </c>
      <c r="K314" s="11">
        <v>4.55</v>
      </c>
      <c r="L314" s="11">
        <v>3.4289999999999998</v>
      </c>
    </row>
    <row r="315" spans="1:12" x14ac:dyDescent="0.3">
      <c r="A315" s="2">
        <v>44998</v>
      </c>
      <c r="B315" s="11">
        <v>3855.76</v>
      </c>
      <c r="C315" s="11">
        <v>11188.84</v>
      </c>
      <c r="D315" s="11">
        <v>81.1511</v>
      </c>
      <c r="E315" s="11">
        <v>2410.6</v>
      </c>
      <c r="F315" s="11">
        <v>788.89</v>
      </c>
      <c r="G315" s="11">
        <v>72.445700000000002</v>
      </c>
      <c r="H315" s="11">
        <v>87.250699999999995</v>
      </c>
      <c r="I315" s="11">
        <v>3.5</v>
      </c>
      <c r="J315" s="11">
        <v>3.4</v>
      </c>
      <c r="K315" s="11">
        <v>4.55</v>
      </c>
      <c r="L315" s="11">
        <v>3.4350000000000001</v>
      </c>
    </row>
    <row r="316" spans="1:12" x14ac:dyDescent="0.3">
      <c r="A316" s="2">
        <v>44999</v>
      </c>
      <c r="B316" s="11">
        <v>3919.29</v>
      </c>
      <c r="C316" s="11">
        <v>11428.15</v>
      </c>
      <c r="D316" s="11">
        <v>82.272199999999998</v>
      </c>
      <c r="E316" s="11">
        <v>2348.9699999999998</v>
      </c>
      <c r="F316" s="11">
        <v>758.05</v>
      </c>
      <c r="G316" s="11">
        <v>72.171899999999994</v>
      </c>
      <c r="H316" s="11">
        <v>86.427000000000007</v>
      </c>
      <c r="I316" s="11">
        <v>3.5</v>
      </c>
      <c r="J316" s="11">
        <v>3.4039999999999999</v>
      </c>
      <c r="K316" s="11">
        <v>4.55</v>
      </c>
      <c r="L316" s="11">
        <v>3.4159999999999999</v>
      </c>
    </row>
    <row r="317" spans="1:12" x14ac:dyDescent="0.3">
      <c r="A317" s="2">
        <v>45000</v>
      </c>
      <c r="B317" s="11">
        <v>3891.93</v>
      </c>
      <c r="C317" s="11">
        <v>11434.05</v>
      </c>
      <c r="D317" s="11">
        <v>81.132300000000001</v>
      </c>
      <c r="E317" s="11">
        <v>2379.7199999999998</v>
      </c>
      <c r="F317" s="11">
        <v>781.17</v>
      </c>
      <c r="G317" s="11">
        <v>72.5959</v>
      </c>
      <c r="H317" s="11">
        <v>87.675799999999995</v>
      </c>
      <c r="I317" s="11">
        <v>3.5</v>
      </c>
      <c r="J317" s="11">
        <v>3.3929999999999998</v>
      </c>
      <c r="K317" s="11">
        <v>4.58</v>
      </c>
      <c r="L317" s="11">
        <v>3.37</v>
      </c>
    </row>
    <row r="318" spans="1:12" x14ac:dyDescent="0.3">
      <c r="A318" s="2">
        <v>45001</v>
      </c>
      <c r="B318" s="11">
        <v>3960.28</v>
      </c>
      <c r="C318" s="11">
        <v>11717.28</v>
      </c>
      <c r="D318" s="11">
        <v>82.4512</v>
      </c>
      <c r="E318" s="11">
        <v>2377.91</v>
      </c>
      <c r="F318" s="11">
        <v>781.98</v>
      </c>
      <c r="G318" s="11">
        <v>72.304400000000001</v>
      </c>
      <c r="H318" s="11">
        <v>86.887500000000003</v>
      </c>
      <c r="I318" s="11">
        <v>3.5</v>
      </c>
      <c r="J318" s="11">
        <v>3.387</v>
      </c>
      <c r="K318" s="11">
        <v>4.57</v>
      </c>
      <c r="L318" s="11">
        <v>3.4390000000000001</v>
      </c>
    </row>
    <row r="319" spans="1:12" x14ac:dyDescent="0.3">
      <c r="A319" s="2">
        <v>45002</v>
      </c>
      <c r="B319" s="11">
        <v>3916.64</v>
      </c>
      <c r="C319" s="11">
        <v>11630.51</v>
      </c>
      <c r="D319" s="11">
        <v>81.556200000000004</v>
      </c>
      <c r="E319" s="11">
        <v>2395.69</v>
      </c>
      <c r="F319" s="11">
        <v>797.39</v>
      </c>
      <c r="G319" s="11">
        <v>72.666499999999999</v>
      </c>
      <c r="H319" s="11">
        <v>87.915000000000006</v>
      </c>
      <c r="I319" s="11">
        <v>3.5</v>
      </c>
      <c r="J319" s="11">
        <v>3.383</v>
      </c>
      <c r="K319" s="11">
        <v>4.55</v>
      </c>
      <c r="L319" s="11">
        <v>3.4260000000000002</v>
      </c>
    </row>
    <row r="320" spans="1:12" x14ac:dyDescent="0.3">
      <c r="A320" s="2">
        <v>45005</v>
      </c>
      <c r="B320" s="11">
        <v>3951.57</v>
      </c>
      <c r="C320" s="11">
        <v>11675.54</v>
      </c>
      <c r="D320" s="11">
        <v>82.3476</v>
      </c>
      <c r="E320" s="11">
        <v>2379.1999999999998</v>
      </c>
      <c r="F320" s="11">
        <v>802.2</v>
      </c>
      <c r="G320" s="11">
        <v>72.578199999999995</v>
      </c>
      <c r="H320" s="11">
        <v>87.560699999999997</v>
      </c>
      <c r="I320" s="11">
        <v>3.5</v>
      </c>
      <c r="J320" s="11">
        <v>3.387</v>
      </c>
      <c r="K320" s="11">
        <v>4.55</v>
      </c>
      <c r="L320" s="11">
        <v>3.4790000000000001</v>
      </c>
    </row>
    <row r="321" spans="1:12" x14ac:dyDescent="0.3">
      <c r="A321" s="2">
        <v>45006</v>
      </c>
      <c r="B321" s="11">
        <v>4002.87</v>
      </c>
      <c r="C321" s="11">
        <v>11860.11</v>
      </c>
      <c r="D321" s="11">
        <v>83.440399999999997</v>
      </c>
      <c r="E321" s="11">
        <v>2388.35</v>
      </c>
      <c r="F321" s="11">
        <v>802.53</v>
      </c>
      <c r="G321" s="11">
        <v>72.304400000000001</v>
      </c>
      <c r="H321" s="11">
        <v>86.799000000000007</v>
      </c>
      <c r="I321" s="11">
        <v>3.5</v>
      </c>
      <c r="J321" s="11">
        <v>3.3889999999999998</v>
      </c>
      <c r="K321" s="11">
        <v>4.55</v>
      </c>
      <c r="L321" s="11">
        <v>3.464</v>
      </c>
    </row>
    <row r="322" spans="1:12" x14ac:dyDescent="0.3">
      <c r="A322" s="2">
        <v>45007</v>
      </c>
      <c r="B322" s="11">
        <v>3936.97</v>
      </c>
      <c r="C322" s="11">
        <v>11669.96</v>
      </c>
      <c r="D322" s="11">
        <v>82.545400000000001</v>
      </c>
      <c r="E322" s="11">
        <v>2416.96</v>
      </c>
      <c r="F322" s="11">
        <v>813.43</v>
      </c>
      <c r="G322" s="11">
        <v>72.64</v>
      </c>
      <c r="H322" s="11">
        <v>87.941500000000005</v>
      </c>
      <c r="I322" s="11">
        <v>3.5</v>
      </c>
      <c r="J322" s="11">
        <v>3.3809999999999998</v>
      </c>
      <c r="K322" s="11">
        <v>4.55</v>
      </c>
      <c r="L322" s="11">
        <v>3.4329999999999998</v>
      </c>
    </row>
    <row r="323" spans="1:12" x14ac:dyDescent="0.3">
      <c r="A323" s="2">
        <v>45008</v>
      </c>
      <c r="B323" s="11">
        <v>3948.72</v>
      </c>
      <c r="C323" s="11">
        <v>11787.4</v>
      </c>
      <c r="D323" s="11">
        <v>82.762100000000004</v>
      </c>
      <c r="E323" s="11">
        <v>2424.48</v>
      </c>
      <c r="F323" s="11">
        <v>812.19</v>
      </c>
      <c r="G323" s="11">
        <v>72.852000000000004</v>
      </c>
      <c r="H323" s="11">
        <v>88.446399999999997</v>
      </c>
      <c r="I323" s="11">
        <v>3.5</v>
      </c>
      <c r="J323" s="11">
        <v>3.3969999999999998</v>
      </c>
      <c r="K323" s="11">
        <v>4.8</v>
      </c>
      <c r="L323" s="11">
        <v>3.45</v>
      </c>
    </row>
    <row r="324" spans="1:12" x14ac:dyDescent="0.3">
      <c r="A324" s="2">
        <v>45009</v>
      </c>
      <c r="B324" s="11">
        <v>3970.99</v>
      </c>
      <c r="C324" s="11">
        <v>11823.96</v>
      </c>
      <c r="D324" s="11">
        <v>82.959900000000005</v>
      </c>
      <c r="E324" s="11">
        <v>2414.96</v>
      </c>
      <c r="F324" s="11">
        <v>824.11</v>
      </c>
      <c r="G324" s="11">
        <v>72.887299999999996</v>
      </c>
      <c r="H324" s="11">
        <v>88.472899999999996</v>
      </c>
      <c r="I324" s="11">
        <v>3.5</v>
      </c>
      <c r="J324" s="11">
        <v>3.39</v>
      </c>
      <c r="K324" s="11">
        <v>4.8</v>
      </c>
      <c r="L324" s="11">
        <v>3.419</v>
      </c>
    </row>
    <row r="325" spans="1:12" x14ac:dyDescent="0.3">
      <c r="A325" s="2">
        <v>45012</v>
      </c>
      <c r="B325" s="11">
        <v>3977.53</v>
      </c>
      <c r="C325" s="11">
        <v>11768.84</v>
      </c>
      <c r="D325" s="11">
        <v>83.251999999999995</v>
      </c>
      <c r="E325" s="11">
        <v>2409.2199999999998</v>
      </c>
      <c r="F325" s="11">
        <v>827.69</v>
      </c>
      <c r="G325" s="11">
        <v>72.578199999999995</v>
      </c>
      <c r="H325" s="11">
        <v>87.383499999999998</v>
      </c>
      <c r="I325" s="11">
        <v>3.5</v>
      </c>
      <c r="J325" s="11">
        <v>3.387</v>
      </c>
      <c r="K325" s="11">
        <v>4.8099999999999996</v>
      </c>
      <c r="L325" s="11">
        <v>3.3980000000000001</v>
      </c>
    </row>
    <row r="326" spans="1:12" x14ac:dyDescent="0.3">
      <c r="A326" s="2">
        <v>45013</v>
      </c>
      <c r="B326" s="11">
        <v>3971.27</v>
      </c>
      <c r="C326" s="11">
        <v>11716.08</v>
      </c>
      <c r="D326" s="11">
        <v>83.327299999999994</v>
      </c>
      <c r="E326" s="11">
        <v>2434.94</v>
      </c>
      <c r="F326" s="11">
        <v>833.51</v>
      </c>
      <c r="G326" s="11">
        <v>72.498699999999999</v>
      </c>
      <c r="H326" s="11">
        <v>87.330399999999997</v>
      </c>
      <c r="I326" s="11">
        <v>3.5</v>
      </c>
      <c r="J326" s="11">
        <v>3.3410000000000002</v>
      </c>
      <c r="K326" s="11">
        <v>4.84</v>
      </c>
      <c r="L326" s="11">
        <v>3.44</v>
      </c>
    </row>
    <row r="327" spans="1:12" x14ac:dyDescent="0.3">
      <c r="A327" s="2">
        <v>45014</v>
      </c>
      <c r="B327" s="11">
        <v>4027.81</v>
      </c>
      <c r="C327" s="11">
        <v>11926.24</v>
      </c>
      <c r="D327" s="11">
        <v>84.344800000000006</v>
      </c>
      <c r="E327" s="11">
        <v>2443.92</v>
      </c>
      <c r="F327" s="11">
        <v>843.94</v>
      </c>
      <c r="G327" s="11">
        <v>72.472200000000001</v>
      </c>
      <c r="H327" s="11">
        <v>87.1798</v>
      </c>
      <c r="I327" s="11">
        <v>3.5</v>
      </c>
      <c r="J327" s="11">
        <v>3.3530000000000002</v>
      </c>
      <c r="K327" s="11">
        <v>4.83</v>
      </c>
      <c r="L327" s="11">
        <v>3.427</v>
      </c>
    </row>
    <row r="328" spans="1:12" x14ac:dyDescent="0.3">
      <c r="A328" s="2">
        <v>45015</v>
      </c>
      <c r="B328" s="11">
        <v>4050.83</v>
      </c>
      <c r="C328" s="11">
        <v>12013.47</v>
      </c>
      <c r="D328" s="11">
        <v>85.032499999999999</v>
      </c>
      <c r="E328" s="11">
        <v>2453.16</v>
      </c>
      <c r="F328" s="11">
        <v>850.48</v>
      </c>
      <c r="G328" s="11">
        <v>72.480999999999995</v>
      </c>
      <c r="H328" s="11">
        <v>87.312700000000007</v>
      </c>
      <c r="I328" s="11">
        <v>3.5</v>
      </c>
      <c r="J328" s="11">
        <v>3.3559999999999999</v>
      </c>
      <c r="K328" s="11">
        <v>4.82</v>
      </c>
      <c r="L328" s="11">
        <v>3.4929999999999999</v>
      </c>
    </row>
    <row r="329" spans="1:12" x14ac:dyDescent="0.3">
      <c r="A329" s="2">
        <v>45016</v>
      </c>
      <c r="B329" s="11">
        <v>4109.3100000000004</v>
      </c>
      <c r="C329" s="11">
        <v>12221.91</v>
      </c>
      <c r="D329" s="11">
        <v>85.880399999999995</v>
      </c>
      <c r="E329" s="11">
        <v>2476.86</v>
      </c>
      <c r="F329" s="11">
        <v>847.52</v>
      </c>
      <c r="G329" s="11">
        <v>72.569400000000002</v>
      </c>
      <c r="H329" s="11">
        <v>87.790999999999997</v>
      </c>
      <c r="I329" s="11">
        <v>3.5</v>
      </c>
      <c r="J329" s="11">
        <v>3.5990000000000002</v>
      </c>
      <c r="K329" s="11">
        <v>4.87</v>
      </c>
      <c r="L329" s="11">
        <v>3.569</v>
      </c>
    </row>
    <row r="330" spans="1:12" x14ac:dyDescent="0.3">
      <c r="A330" s="2">
        <v>45019</v>
      </c>
      <c r="B330" s="11">
        <v>4124.51</v>
      </c>
      <c r="C330" s="11">
        <v>12189.45</v>
      </c>
      <c r="D330" s="11">
        <v>86.3797</v>
      </c>
      <c r="E330" s="11">
        <v>2472.34</v>
      </c>
      <c r="F330" s="11">
        <v>854.96</v>
      </c>
      <c r="G330" s="11">
        <v>72.658000000000001</v>
      </c>
      <c r="H330" s="11">
        <v>88.204499999999996</v>
      </c>
      <c r="I330" s="11">
        <v>3.5</v>
      </c>
      <c r="J330" s="11">
        <v>3.4849999999999999</v>
      </c>
      <c r="K330" s="11">
        <v>4.84</v>
      </c>
      <c r="L330" s="11">
        <v>3.4489999999999998</v>
      </c>
    </row>
    <row r="331" spans="1:12" x14ac:dyDescent="0.3">
      <c r="A331" s="2">
        <v>45020</v>
      </c>
      <c r="B331" s="11">
        <v>4100.6000000000004</v>
      </c>
      <c r="C331" s="11">
        <v>12126.33</v>
      </c>
      <c r="D331" s="11">
        <v>86.078199999999995</v>
      </c>
      <c r="E331" s="11">
        <v>2480.5100000000002</v>
      </c>
      <c r="F331" s="11">
        <v>857.18</v>
      </c>
      <c r="G331" s="11">
        <v>72.8262</v>
      </c>
      <c r="H331" s="11">
        <v>88.772499999999994</v>
      </c>
      <c r="I331" s="11">
        <v>3.5</v>
      </c>
      <c r="J331" s="11">
        <v>3.42</v>
      </c>
      <c r="K331" s="11">
        <v>4.83</v>
      </c>
      <c r="L331" s="11">
        <v>3.4409999999999998</v>
      </c>
    </row>
    <row r="332" spans="1:12" x14ac:dyDescent="0.3">
      <c r="A332" s="2">
        <v>45021</v>
      </c>
      <c r="B332" s="11">
        <v>4090.38</v>
      </c>
      <c r="C332" s="11">
        <v>11996.86</v>
      </c>
      <c r="D332" s="11">
        <v>85.635400000000004</v>
      </c>
      <c r="E332" s="11">
        <v>2495.21</v>
      </c>
      <c r="F332" s="11">
        <v>872.36</v>
      </c>
      <c r="G332" s="11">
        <v>72.923599999999993</v>
      </c>
      <c r="H332" s="11">
        <v>89.145200000000003</v>
      </c>
      <c r="I332" s="11">
        <v>3.5</v>
      </c>
      <c r="J332" s="11">
        <v>3.419</v>
      </c>
      <c r="K332" s="11">
        <v>4.8099999999999996</v>
      </c>
      <c r="L332" s="11">
        <v>3.4630000000000001</v>
      </c>
    </row>
    <row r="333" spans="1:12" x14ac:dyDescent="0.3">
      <c r="A333" s="2">
        <v>45022</v>
      </c>
      <c r="B333" s="11">
        <v>4105.0200000000004</v>
      </c>
      <c r="C333" s="11">
        <v>12087.96</v>
      </c>
      <c r="D333" s="11">
        <v>85.974599999999995</v>
      </c>
      <c r="E333" s="11">
        <v>2459.23</v>
      </c>
      <c r="F333" s="11">
        <v>865.58</v>
      </c>
      <c r="G333" s="11">
        <v>72.897000000000006</v>
      </c>
      <c r="H333" s="11">
        <v>89.171800000000005</v>
      </c>
      <c r="I333" s="11">
        <v>3.5</v>
      </c>
      <c r="J333" s="11">
        <v>3.3439999999999999</v>
      </c>
      <c r="K333" s="11">
        <v>4.8099999999999996</v>
      </c>
      <c r="L333" s="11">
        <v>3.4</v>
      </c>
    </row>
    <row r="334" spans="1:12" x14ac:dyDescent="0.3">
      <c r="A334" s="2">
        <v>45023</v>
      </c>
      <c r="B334" s="11">
        <v>4105.0200000000004</v>
      </c>
      <c r="C334" s="11">
        <v>12087.96</v>
      </c>
      <c r="D334" s="11">
        <v>85.974599999999995</v>
      </c>
      <c r="E334" s="11">
        <v>2490.41</v>
      </c>
      <c r="F334" s="11">
        <v>880.07</v>
      </c>
      <c r="G334" s="11">
        <v>72.897000000000006</v>
      </c>
      <c r="H334" s="11">
        <v>89.171800000000005</v>
      </c>
      <c r="I334" s="11">
        <v>3.5</v>
      </c>
      <c r="J334" s="11">
        <v>3.3029999999999999</v>
      </c>
      <c r="K334" s="11">
        <v>4.8099999999999996</v>
      </c>
      <c r="L334" s="11">
        <v>3.403</v>
      </c>
    </row>
    <row r="335" spans="1:12" x14ac:dyDescent="0.3">
      <c r="A335" s="2">
        <v>45026</v>
      </c>
      <c r="B335" s="11">
        <v>4109.1099999999997</v>
      </c>
      <c r="C335" s="11">
        <v>12084.36</v>
      </c>
      <c r="D335" s="11">
        <v>86.031099999999995</v>
      </c>
      <c r="E335" s="11">
        <v>2512.08</v>
      </c>
      <c r="F335" s="11">
        <v>887.78</v>
      </c>
      <c r="G335" s="11">
        <v>72.640299999999996</v>
      </c>
      <c r="H335" s="11">
        <v>88.293199999999999</v>
      </c>
      <c r="I335" s="11">
        <v>3.5</v>
      </c>
      <c r="J335" s="11">
        <v>3.3119999999999998</v>
      </c>
      <c r="K335" s="11">
        <v>4.8099999999999996</v>
      </c>
      <c r="L335" s="11">
        <v>3.419</v>
      </c>
    </row>
    <row r="336" spans="1:12" x14ac:dyDescent="0.3">
      <c r="A336" s="2">
        <v>45027</v>
      </c>
      <c r="B336" s="11">
        <v>4108.9399999999996</v>
      </c>
      <c r="C336" s="11">
        <v>12031.88</v>
      </c>
      <c r="D336" s="11">
        <v>86.200699999999998</v>
      </c>
      <c r="E336" s="11">
        <v>2547.86</v>
      </c>
      <c r="F336" s="11">
        <v>898.94</v>
      </c>
      <c r="G336" s="11">
        <v>72.631500000000003</v>
      </c>
      <c r="H336" s="11">
        <v>88.2577</v>
      </c>
      <c r="I336" s="11">
        <v>3.5</v>
      </c>
      <c r="J336" s="11">
        <v>3.3130000000000002</v>
      </c>
      <c r="K336" s="11">
        <v>4.8</v>
      </c>
      <c r="L336" s="11">
        <v>3.452</v>
      </c>
    </row>
    <row r="337" spans="1:12" x14ac:dyDescent="0.3">
      <c r="A337" s="2">
        <v>45028</v>
      </c>
      <c r="B337" s="11">
        <v>4091.95</v>
      </c>
      <c r="C337" s="11">
        <v>11929.34</v>
      </c>
      <c r="D337" s="11">
        <v>86.059399999999997</v>
      </c>
      <c r="E337" s="11">
        <v>2550.64</v>
      </c>
      <c r="F337" s="11">
        <v>890.62</v>
      </c>
      <c r="G337" s="11">
        <v>72.711200000000005</v>
      </c>
      <c r="H337" s="11">
        <v>88.515100000000004</v>
      </c>
      <c r="I337" s="11">
        <v>3.5</v>
      </c>
      <c r="J337" s="11">
        <v>3.3130000000000002</v>
      </c>
      <c r="K337" s="11">
        <v>4.8</v>
      </c>
      <c r="L337" s="11">
        <v>3.43</v>
      </c>
    </row>
    <row r="338" spans="1:12" x14ac:dyDescent="0.3">
      <c r="A338" s="2">
        <v>45029</v>
      </c>
      <c r="B338" s="11">
        <v>4146.22</v>
      </c>
      <c r="C338" s="11">
        <v>12166.27</v>
      </c>
      <c r="D338" s="11">
        <v>87.208699999999993</v>
      </c>
      <c r="E338" s="11">
        <v>2561.66</v>
      </c>
      <c r="F338" s="11">
        <v>894.25</v>
      </c>
      <c r="G338" s="11">
        <v>72.755399999999995</v>
      </c>
      <c r="H338" s="11">
        <v>88.222200000000001</v>
      </c>
      <c r="I338" s="11">
        <v>3.5</v>
      </c>
      <c r="J338" s="11">
        <v>3.3079999999999998</v>
      </c>
      <c r="K338" s="11">
        <v>4.8</v>
      </c>
      <c r="L338" s="11">
        <v>3.4380000000000002</v>
      </c>
    </row>
    <row r="339" spans="1:12" x14ac:dyDescent="0.3">
      <c r="A339" s="2">
        <v>45030</v>
      </c>
      <c r="B339" s="11">
        <v>4137.6400000000003</v>
      </c>
      <c r="C339" s="11">
        <v>12123.47</v>
      </c>
      <c r="D339" s="11">
        <v>86.954400000000007</v>
      </c>
      <c r="E339" s="11">
        <v>2571.4899999999998</v>
      </c>
      <c r="F339" s="11">
        <v>903.84</v>
      </c>
      <c r="G339" s="11">
        <v>72.587199999999996</v>
      </c>
      <c r="H339" s="11">
        <v>87.787400000000005</v>
      </c>
      <c r="I339" s="11">
        <v>3.5</v>
      </c>
      <c r="J339" s="11">
        <v>3.4390000000000001</v>
      </c>
      <c r="K339" s="11">
        <v>4.8</v>
      </c>
      <c r="L339" s="11">
        <v>3.4910000000000001</v>
      </c>
    </row>
    <row r="340" spans="1:12" x14ac:dyDescent="0.3">
      <c r="A340" s="2">
        <v>45033</v>
      </c>
      <c r="B340" s="11">
        <v>4151.32</v>
      </c>
      <c r="C340" s="11">
        <v>12157.72</v>
      </c>
      <c r="D340" s="11">
        <v>87.114500000000007</v>
      </c>
      <c r="E340" s="11">
        <v>2575.91</v>
      </c>
      <c r="F340" s="11">
        <v>909.5</v>
      </c>
      <c r="G340" s="11">
        <v>72.480999999999995</v>
      </c>
      <c r="H340" s="11">
        <v>87.228300000000004</v>
      </c>
      <c r="I340" s="11">
        <v>3.5</v>
      </c>
      <c r="J340" s="11">
        <v>3.4369999999999998</v>
      </c>
      <c r="K340" s="11">
        <v>4.8</v>
      </c>
      <c r="L340" s="11">
        <v>3.4780000000000002</v>
      </c>
    </row>
    <row r="341" spans="1:12" x14ac:dyDescent="0.3">
      <c r="A341" s="2">
        <v>45034</v>
      </c>
      <c r="B341" s="11">
        <v>4154.87</v>
      </c>
      <c r="C341" s="11">
        <v>12153.41</v>
      </c>
      <c r="D341" s="11">
        <v>87.274699999999996</v>
      </c>
      <c r="E341" s="11">
        <v>2571.09</v>
      </c>
      <c r="F341" s="11">
        <v>909.02</v>
      </c>
      <c r="G341" s="11">
        <v>72.463300000000004</v>
      </c>
      <c r="H341" s="11">
        <v>87.3703</v>
      </c>
      <c r="I341" s="11">
        <v>3.5</v>
      </c>
      <c r="J341" s="11">
        <v>3.39</v>
      </c>
      <c r="K341" s="11">
        <v>4.8</v>
      </c>
      <c r="L341" s="11">
        <v>3.4689999999999999</v>
      </c>
    </row>
    <row r="342" spans="1:12" x14ac:dyDescent="0.3">
      <c r="A342" s="2">
        <v>45035</v>
      </c>
      <c r="B342" s="11">
        <v>4154.5200000000004</v>
      </c>
      <c r="C342" s="11">
        <v>12157.23</v>
      </c>
      <c r="D342" s="11">
        <v>87.095699999999994</v>
      </c>
      <c r="E342" s="11">
        <v>2575.08</v>
      </c>
      <c r="F342" s="11">
        <v>909.2</v>
      </c>
      <c r="G342" s="11">
        <v>72.401300000000006</v>
      </c>
      <c r="H342" s="11">
        <v>87.183899999999994</v>
      </c>
      <c r="I342" s="11">
        <v>3.5</v>
      </c>
      <c r="J342" s="11">
        <v>3.31</v>
      </c>
      <c r="K342" s="11">
        <v>4.8</v>
      </c>
      <c r="L342" s="11">
        <v>3.4279999999999999</v>
      </c>
    </row>
    <row r="343" spans="1:12" x14ac:dyDescent="0.3">
      <c r="A343" s="2">
        <v>45036</v>
      </c>
      <c r="B343" s="11">
        <v>4129.79</v>
      </c>
      <c r="C343" s="11">
        <v>12059.56</v>
      </c>
      <c r="D343" s="11">
        <v>86.775400000000005</v>
      </c>
      <c r="E343" s="11">
        <v>2563.11</v>
      </c>
      <c r="F343" s="11">
        <v>885.71</v>
      </c>
      <c r="G343" s="11">
        <v>72.578400000000002</v>
      </c>
      <c r="H343" s="11">
        <v>87.689800000000005</v>
      </c>
      <c r="I343" s="11">
        <v>3.5</v>
      </c>
      <c r="J343" s="11">
        <v>3.32</v>
      </c>
      <c r="K343" s="11">
        <v>4.8</v>
      </c>
      <c r="L343" s="11">
        <v>3.4870000000000001</v>
      </c>
    </row>
    <row r="344" spans="1:12" x14ac:dyDescent="0.3">
      <c r="A344" s="2">
        <v>45037</v>
      </c>
      <c r="B344" s="11">
        <v>4133.5200000000004</v>
      </c>
      <c r="C344" s="11">
        <v>12072.46</v>
      </c>
      <c r="D344" s="11">
        <v>86.831900000000005</v>
      </c>
      <c r="E344" s="11">
        <v>2544.4</v>
      </c>
      <c r="F344" s="11">
        <v>868.82</v>
      </c>
      <c r="G344" s="11">
        <v>72.534099999999995</v>
      </c>
      <c r="H344" s="11">
        <v>87.476799999999997</v>
      </c>
      <c r="I344" s="11">
        <v>3.5</v>
      </c>
      <c r="J344" s="11">
        <v>3.4860000000000002</v>
      </c>
      <c r="K344" s="11">
        <v>4.8</v>
      </c>
      <c r="L344" s="11">
        <v>3.512</v>
      </c>
    </row>
    <row r="345" spans="1:12" x14ac:dyDescent="0.3">
      <c r="A345" s="2">
        <v>45040</v>
      </c>
      <c r="B345" s="11">
        <v>4137.04</v>
      </c>
      <c r="C345" s="11">
        <v>12037.2</v>
      </c>
      <c r="D345" s="11">
        <v>86.869600000000005</v>
      </c>
      <c r="E345" s="11">
        <v>2523.5</v>
      </c>
      <c r="F345" s="11">
        <v>855.23</v>
      </c>
      <c r="G345" s="11">
        <v>72.613799999999998</v>
      </c>
      <c r="H345" s="11">
        <v>87.902699999999996</v>
      </c>
      <c r="I345" s="11">
        <v>3.5</v>
      </c>
      <c r="J345" s="11">
        <v>3.5249999999999999</v>
      </c>
      <c r="K345" s="11">
        <v>4.8</v>
      </c>
      <c r="L345" s="11">
        <v>3.5030000000000001</v>
      </c>
    </row>
    <row r="346" spans="1:12" x14ac:dyDescent="0.3">
      <c r="A346" s="2">
        <v>45041</v>
      </c>
      <c r="B346" s="11">
        <v>4071.63</v>
      </c>
      <c r="C346" s="11">
        <v>11799.16</v>
      </c>
      <c r="D346" s="11">
        <v>85.475300000000004</v>
      </c>
      <c r="E346" s="11">
        <v>2489.02</v>
      </c>
      <c r="F346" s="11">
        <v>838.71</v>
      </c>
      <c r="G346" s="11">
        <v>72.897000000000006</v>
      </c>
      <c r="H346" s="11">
        <v>88.772499999999994</v>
      </c>
      <c r="I346" s="11">
        <v>3.5</v>
      </c>
      <c r="J346" s="11">
        <v>3.5409999999999999</v>
      </c>
      <c r="K346" s="11">
        <v>4.8</v>
      </c>
      <c r="L346" s="11">
        <v>3.512</v>
      </c>
    </row>
    <row r="347" spans="1:12" x14ac:dyDescent="0.3">
      <c r="A347" s="2">
        <v>45042</v>
      </c>
      <c r="B347" s="11">
        <v>4055.99</v>
      </c>
      <c r="C347" s="11">
        <v>11854.35</v>
      </c>
      <c r="D347" s="11">
        <v>85.258600000000001</v>
      </c>
      <c r="E347" s="11">
        <v>2484.83</v>
      </c>
      <c r="F347" s="11">
        <v>830.44</v>
      </c>
      <c r="G347" s="11">
        <v>72.808499999999995</v>
      </c>
      <c r="H347" s="11">
        <v>88.426299999999998</v>
      </c>
      <c r="I347" s="11">
        <v>3.5</v>
      </c>
      <c r="J347" s="11">
        <v>3.504</v>
      </c>
      <c r="K347" s="11">
        <v>4.8</v>
      </c>
      <c r="L347" s="11">
        <v>3.4990000000000001</v>
      </c>
    </row>
    <row r="348" spans="1:12" x14ac:dyDescent="0.3">
      <c r="A348" s="2">
        <v>45043</v>
      </c>
      <c r="B348" s="11">
        <v>4135.3500000000004</v>
      </c>
      <c r="C348" s="11">
        <v>12142.24</v>
      </c>
      <c r="D348" s="11">
        <v>86.718800000000002</v>
      </c>
      <c r="E348" s="11">
        <v>2495.81</v>
      </c>
      <c r="F348" s="11">
        <v>850.21</v>
      </c>
      <c r="G348" s="11">
        <v>72.666899999999998</v>
      </c>
      <c r="H348" s="11">
        <v>87.849500000000006</v>
      </c>
      <c r="I348" s="11">
        <v>3.5</v>
      </c>
      <c r="J348" s="11">
        <v>3.5030000000000001</v>
      </c>
      <c r="K348" s="11">
        <v>4.8099999999999996</v>
      </c>
      <c r="L348" s="11">
        <v>3.4870000000000001</v>
      </c>
    </row>
    <row r="349" spans="1:12" x14ac:dyDescent="0.3">
      <c r="A349" s="2">
        <v>45044</v>
      </c>
      <c r="B349" s="11">
        <v>4169.4799999999996</v>
      </c>
      <c r="C349" s="11">
        <v>12226.58</v>
      </c>
      <c r="D349" s="11">
        <v>87.227599999999995</v>
      </c>
      <c r="E349" s="11">
        <v>2501.5300000000002</v>
      </c>
      <c r="F349" s="11">
        <v>842.83</v>
      </c>
      <c r="G349" s="11">
        <v>72.746600000000001</v>
      </c>
      <c r="H349" s="11">
        <v>88.506200000000007</v>
      </c>
      <c r="I349" s="11">
        <v>3.5</v>
      </c>
      <c r="J349" s="11">
        <v>3.5670000000000002</v>
      </c>
      <c r="K349" s="11">
        <v>4.8099999999999996</v>
      </c>
      <c r="L349" s="11">
        <v>3.5489999999999999</v>
      </c>
    </row>
    <row r="350" spans="1:12" x14ac:dyDescent="0.3">
      <c r="A350" s="2">
        <v>45047</v>
      </c>
      <c r="B350" s="11">
        <v>4167.87</v>
      </c>
      <c r="C350" s="11">
        <v>12212.6</v>
      </c>
      <c r="D350" s="11">
        <v>87.114500000000007</v>
      </c>
      <c r="E350" s="11">
        <v>2501.5300000000002</v>
      </c>
      <c r="F350" s="11">
        <v>842.83</v>
      </c>
      <c r="G350" s="11">
        <v>72.587900000000005</v>
      </c>
      <c r="H350" s="11">
        <v>87.464100000000002</v>
      </c>
      <c r="I350" s="11">
        <v>3.5</v>
      </c>
      <c r="J350" s="11">
        <v>3.5670000000000002</v>
      </c>
      <c r="K350" s="11">
        <v>4.8099999999999996</v>
      </c>
      <c r="L350" s="11">
        <v>3.5</v>
      </c>
    </row>
    <row r="351" spans="1:12" x14ac:dyDescent="0.3">
      <c r="A351" s="2">
        <v>45048</v>
      </c>
      <c r="B351" s="11">
        <v>4119.58</v>
      </c>
      <c r="C351" s="11">
        <v>12080.51</v>
      </c>
      <c r="D351" s="11">
        <v>86.134699999999995</v>
      </c>
      <c r="E351" s="11">
        <v>2524.39</v>
      </c>
      <c r="F351" s="11">
        <v>855.61</v>
      </c>
      <c r="G351" s="11">
        <v>72.827399999999997</v>
      </c>
      <c r="H351" s="11">
        <v>88.602800000000002</v>
      </c>
      <c r="I351" s="11">
        <v>3.5</v>
      </c>
      <c r="J351" s="11">
        <v>3.5070000000000001</v>
      </c>
      <c r="K351" s="11">
        <v>4.8099999999999996</v>
      </c>
      <c r="L351" s="11">
        <v>3.512</v>
      </c>
    </row>
    <row r="352" spans="1:12" x14ac:dyDescent="0.3">
      <c r="A352" s="2">
        <v>45049</v>
      </c>
      <c r="B352" s="11">
        <v>4090.75</v>
      </c>
      <c r="C352" s="11">
        <v>12025.33</v>
      </c>
      <c r="D352" s="11">
        <v>85.823899999999995</v>
      </c>
      <c r="E352" s="11">
        <v>2501.4</v>
      </c>
      <c r="F352" s="11">
        <v>843.18</v>
      </c>
      <c r="G352" s="11">
        <v>73.004900000000006</v>
      </c>
      <c r="H352" s="11">
        <v>89.180999999999997</v>
      </c>
      <c r="I352" s="11">
        <v>3.5</v>
      </c>
      <c r="J352" s="11">
        <v>3.5489999999999999</v>
      </c>
      <c r="K352" s="11">
        <v>4.8099999999999996</v>
      </c>
      <c r="L352" s="11">
        <v>3.5409999999999999</v>
      </c>
    </row>
    <row r="353" spans="1:12" x14ac:dyDescent="0.3">
      <c r="A353" s="2">
        <v>45050</v>
      </c>
      <c r="B353" s="11">
        <v>4061.22</v>
      </c>
      <c r="C353" s="11">
        <v>11966.4</v>
      </c>
      <c r="D353" s="11">
        <v>85.513000000000005</v>
      </c>
      <c r="E353" s="11">
        <v>2500.94</v>
      </c>
      <c r="F353" s="11">
        <v>845.06</v>
      </c>
      <c r="G353" s="11">
        <v>73.120199999999997</v>
      </c>
      <c r="H353" s="11">
        <v>89.163200000000003</v>
      </c>
      <c r="I353" s="11">
        <v>3.5</v>
      </c>
      <c r="J353" s="11">
        <v>3.5259999999999998</v>
      </c>
      <c r="K353" s="11">
        <v>5.0599999999999996</v>
      </c>
      <c r="L353" s="11">
        <v>3.5289999999999999</v>
      </c>
    </row>
    <row r="354" spans="1:12" x14ac:dyDescent="0.3">
      <c r="A354" s="2">
        <v>45051</v>
      </c>
      <c r="B354" s="11">
        <v>4136.25</v>
      </c>
      <c r="C354" s="11">
        <v>12235.41</v>
      </c>
      <c r="D354" s="11">
        <v>86.963800000000006</v>
      </c>
      <c r="E354" s="11">
        <v>2500.94</v>
      </c>
      <c r="F354" s="11">
        <v>845.06</v>
      </c>
      <c r="G354" s="11">
        <v>72.942800000000005</v>
      </c>
      <c r="H354" s="11">
        <v>88.6828</v>
      </c>
      <c r="I354" s="11">
        <v>3.5</v>
      </c>
      <c r="J354" s="11">
        <v>3.5259999999999998</v>
      </c>
      <c r="K354" s="11">
        <v>5.0599999999999996</v>
      </c>
      <c r="L354" s="11">
        <v>3.5</v>
      </c>
    </row>
    <row r="355" spans="1:12" x14ac:dyDescent="0.3">
      <c r="A355" s="2">
        <v>45054</v>
      </c>
      <c r="B355" s="11">
        <v>4138.12</v>
      </c>
      <c r="C355" s="11">
        <v>12256.92</v>
      </c>
      <c r="D355" s="11">
        <v>87.001499999999993</v>
      </c>
      <c r="E355" s="11">
        <v>2513.21</v>
      </c>
      <c r="F355" s="11">
        <v>842.28</v>
      </c>
      <c r="G355" s="11">
        <v>72.827399999999997</v>
      </c>
      <c r="H355" s="11">
        <v>88.140199999999993</v>
      </c>
      <c r="I355" s="11">
        <v>3.5</v>
      </c>
      <c r="J355" s="11">
        <v>3.5939999999999999</v>
      </c>
      <c r="K355" s="11">
        <v>5.0599999999999996</v>
      </c>
      <c r="L355" s="11">
        <v>3.5910000000000002</v>
      </c>
    </row>
    <row r="356" spans="1:12" x14ac:dyDescent="0.3">
      <c r="A356" s="2">
        <v>45055</v>
      </c>
      <c r="B356" s="11">
        <v>4119.17</v>
      </c>
      <c r="C356" s="11">
        <v>12179.55</v>
      </c>
      <c r="D356" s="11">
        <v>86.634</v>
      </c>
      <c r="E356" s="11">
        <v>2510.06</v>
      </c>
      <c r="F356" s="11">
        <v>835.85</v>
      </c>
      <c r="G356" s="11">
        <v>72.809700000000007</v>
      </c>
      <c r="H356" s="11">
        <v>88.0334</v>
      </c>
      <c r="I356" s="11">
        <v>3.5</v>
      </c>
      <c r="J356" s="11">
        <v>3.9689999999999999</v>
      </c>
      <c r="K356" s="11">
        <v>5.0599999999999996</v>
      </c>
      <c r="L356" s="11">
        <v>3.6560000000000001</v>
      </c>
    </row>
    <row r="357" spans="1:12" x14ac:dyDescent="0.3">
      <c r="A357" s="2">
        <v>45056</v>
      </c>
      <c r="B357" s="11">
        <v>4137.6400000000003</v>
      </c>
      <c r="C357" s="11">
        <v>12306.44</v>
      </c>
      <c r="D357" s="11">
        <v>86.850700000000003</v>
      </c>
      <c r="E357" s="11">
        <v>2496.5100000000002</v>
      </c>
      <c r="F357" s="11">
        <v>829.74</v>
      </c>
      <c r="G357" s="11">
        <v>72.987099999999998</v>
      </c>
      <c r="H357" s="11">
        <v>88.691699999999997</v>
      </c>
      <c r="I357" s="11">
        <v>3.5</v>
      </c>
      <c r="J357" s="11">
        <v>3.9670000000000001</v>
      </c>
      <c r="K357" s="11">
        <v>5.0599999999999996</v>
      </c>
      <c r="L357" s="11">
        <v>3.5670000000000002</v>
      </c>
    </row>
    <row r="358" spans="1:12" x14ac:dyDescent="0.3">
      <c r="A358" s="2">
        <v>45057</v>
      </c>
      <c r="B358" s="11">
        <v>4130.62</v>
      </c>
      <c r="C358" s="11">
        <v>12328.51</v>
      </c>
      <c r="D358" s="11">
        <v>86.634</v>
      </c>
      <c r="E358" s="11">
        <v>2491</v>
      </c>
      <c r="F358" s="11">
        <v>824.54</v>
      </c>
      <c r="G358" s="11">
        <v>73.031499999999994</v>
      </c>
      <c r="H358" s="11">
        <v>89.020899999999997</v>
      </c>
      <c r="I358" s="11">
        <v>3.5</v>
      </c>
      <c r="J358" s="11">
        <v>3.5950000000000002</v>
      </c>
      <c r="K358" s="11">
        <v>5.05</v>
      </c>
      <c r="L358" s="11">
        <v>3.5590000000000002</v>
      </c>
    </row>
    <row r="359" spans="1:12" x14ac:dyDescent="0.3">
      <c r="A359" s="2">
        <v>45058</v>
      </c>
      <c r="B359" s="11">
        <v>4124.08</v>
      </c>
      <c r="C359" s="11">
        <v>12284.74</v>
      </c>
      <c r="D359" s="11">
        <v>86.389099999999999</v>
      </c>
      <c r="E359" s="11">
        <v>2475.42</v>
      </c>
      <c r="F359" s="11">
        <v>822.43</v>
      </c>
      <c r="G359" s="11">
        <v>72.907300000000006</v>
      </c>
      <c r="H359" s="11">
        <v>88.487099999999998</v>
      </c>
      <c r="I359" s="11">
        <v>3.5</v>
      </c>
      <c r="J359" s="11">
        <v>3.569</v>
      </c>
      <c r="K359" s="11">
        <v>5.05</v>
      </c>
      <c r="L359" s="11">
        <v>3.548</v>
      </c>
    </row>
    <row r="360" spans="1:12" x14ac:dyDescent="0.3">
      <c r="A360" s="2">
        <v>45061</v>
      </c>
      <c r="B360" s="11">
        <v>4136.28</v>
      </c>
      <c r="C360" s="11">
        <v>12365.21</v>
      </c>
      <c r="D360" s="11">
        <v>86.982600000000005</v>
      </c>
      <c r="E360" s="11">
        <v>2479.35</v>
      </c>
      <c r="F360" s="11">
        <v>814.53</v>
      </c>
      <c r="G360" s="11">
        <v>72.916200000000003</v>
      </c>
      <c r="H360" s="11">
        <v>88.291399999999996</v>
      </c>
      <c r="I360" s="11">
        <v>3.5</v>
      </c>
      <c r="J360" s="11">
        <v>3.5870000000000002</v>
      </c>
      <c r="K360" s="11">
        <v>5.0599999999999996</v>
      </c>
      <c r="L360" s="11">
        <v>3.58</v>
      </c>
    </row>
    <row r="361" spans="1:12" x14ac:dyDescent="0.3">
      <c r="A361" s="2">
        <v>45062</v>
      </c>
      <c r="B361" s="11">
        <v>4109.8999999999996</v>
      </c>
      <c r="C361" s="11">
        <v>12343.05</v>
      </c>
      <c r="D361" s="11">
        <v>86.285499999999999</v>
      </c>
      <c r="E361" s="11">
        <v>2480.2399999999998</v>
      </c>
      <c r="F361" s="11">
        <v>816.75</v>
      </c>
      <c r="G361" s="11">
        <v>72.827399999999997</v>
      </c>
      <c r="H361" s="11">
        <v>88.006799999999998</v>
      </c>
      <c r="I361" s="11">
        <v>3.5</v>
      </c>
      <c r="J361" s="11">
        <v>3.629</v>
      </c>
      <c r="K361" s="11">
        <v>5.05</v>
      </c>
      <c r="L361" s="11">
        <v>3.5979999999999999</v>
      </c>
    </row>
    <row r="362" spans="1:12" x14ac:dyDescent="0.3">
      <c r="A362" s="2">
        <v>45063</v>
      </c>
      <c r="B362" s="11">
        <v>4158.7700000000004</v>
      </c>
      <c r="C362" s="11">
        <v>12500.57</v>
      </c>
      <c r="D362" s="11">
        <v>87.095699999999994</v>
      </c>
      <c r="E362" s="11">
        <v>2494.66</v>
      </c>
      <c r="F362" s="11">
        <v>834.19</v>
      </c>
      <c r="G362" s="11">
        <v>72.747600000000006</v>
      </c>
      <c r="H362" s="11">
        <v>87.722099999999998</v>
      </c>
      <c r="I362" s="11">
        <v>3.5</v>
      </c>
      <c r="J362" s="11">
        <v>3.6110000000000002</v>
      </c>
      <c r="K362" s="11">
        <v>5.05</v>
      </c>
      <c r="L362" s="11">
        <v>3.6</v>
      </c>
    </row>
    <row r="363" spans="1:12" x14ac:dyDescent="0.3">
      <c r="A363" s="2">
        <v>45064</v>
      </c>
      <c r="B363" s="11">
        <v>4198.05</v>
      </c>
      <c r="C363" s="11">
        <v>12688.84</v>
      </c>
      <c r="D363" s="11">
        <v>87.528999999999996</v>
      </c>
      <c r="E363" s="11">
        <v>2515.4</v>
      </c>
      <c r="F363" s="11">
        <v>835.89</v>
      </c>
      <c r="G363" s="11">
        <v>72.614500000000007</v>
      </c>
      <c r="H363" s="11">
        <v>87.179400000000001</v>
      </c>
      <c r="I363" s="11">
        <v>3.5</v>
      </c>
      <c r="J363" s="11">
        <v>3.657</v>
      </c>
      <c r="K363" s="11">
        <v>5.05</v>
      </c>
      <c r="L363" s="11">
        <v>3.6269999999999998</v>
      </c>
    </row>
    <row r="364" spans="1:12" x14ac:dyDescent="0.3">
      <c r="A364" s="2">
        <v>45065</v>
      </c>
      <c r="B364" s="11">
        <v>4191.9799999999996</v>
      </c>
      <c r="C364" s="11">
        <v>12657.9</v>
      </c>
      <c r="D364" s="11">
        <v>87.585599999999999</v>
      </c>
      <c r="E364" s="11">
        <v>2537.79</v>
      </c>
      <c r="F364" s="11">
        <v>841.72</v>
      </c>
      <c r="G364" s="11">
        <v>72.561300000000003</v>
      </c>
      <c r="H364" s="11">
        <v>86.850300000000004</v>
      </c>
      <c r="I364" s="11">
        <v>3.5</v>
      </c>
      <c r="J364" s="11">
        <v>3.653</v>
      </c>
      <c r="K364" s="11">
        <v>5.05</v>
      </c>
      <c r="L364" s="11">
        <v>3.6030000000000002</v>
      </c>
    </row>
    <row r="365" spans="1:12" x14ac:dyDescent="0.3">
      <c r="A365" s="2">
        <v>45068</v>
      </c>
      <c r="B365" s="11">
        <v>4192.63</v>
      </c>
      <c r="C365" s="11">
        <v>12720.78</v>
      </c>
      <c r="D365" s="11">
        <v>87.717399999999998</v>
      </c>
      <c r="E365" s="11">
        <v>2557.08</v>
      </c>
      <c r="F365" s="11">
        <v>852.04</v>
      </c>
      <c r="G365" s="11">
        <v>72.534599999999998</v>
      </c>
      <c r="H365" s="11">
        <v>86.690200000000004</v>
      </c>
      <c r="I365" s="11">
        <v>3.5</v>
      </c>
      <c r="J365" s="11">
        <v>3.609</v>
      </c>
      <c r="K365" s="11">
        <v>5.05</v>
      </c>
      <c r="L365" s="11">
        <v>3.589</v>
      </c>
    </row>
    <row r="366" spans="1:12" x14ac:dyDescent="0.3">
      <c r="A366" s="2">
        <v>45069</v>
      </c>
      <c r="B366" s="11">
        <v>4145.58</v>
      </c>
      <c r="C366" s="11">
        <v>12560.25</v>
      </c>
      <c r="D366" s="11">
        <v>86.615200000000002</v>
      </c>
      <c r="E366" s="11">
        <v>2567.5500000000002</v>
      </c>
      <c r="F366" s="11">
        <v>859.16</v>
      </c>
      <c r="G366" s="11">
        <v>72.525800000000004</v>
      </c>
      <c r="H366" s="11">
        <v>86.832499999999996</v>
      </c>
      <c r="I366" s="11">
        <v>3.5</v>
      </c>
      <c r="J366" s="11">
        <v>3.593</v>
      </c>
      <c r="K366" s="11">
        <v>5.05</v>
      </c>
      <c r="L366" s="11">
        <v>3.5590000000000002</v>
      </c>
    </row>
    <row r="367" spans="1:12" x14ac:dyDescent="0.3">
      <c r="A367" s="2">
        <v>45070</v>
      </c>
      <c r="B367" s="11">
        <v>4115.24</v>
      </c>
      <c r="C367" s="11">
        <v>12484.16</v>
      </c>
      <c r="D367" s="11">
        <v>85.814400000000006</v>
      </c>
      <c r="E367" s="11">
        <v>2567.4499999999998</v>
      </c>
      <c r="F367" s="11">
        <v>855.46</v>
      </c>
      <c r="G367" s="11">
        <v>72.436999999999998</v>
      </c>
      <c r="H367" s="11">
        <v>86.610100000000003</v>
      </c>
      <c r="I367" s="11">
        <v>3.5</v>
      </c>
      <c r="J367" s="11">
        <v>3.593</v>
      </c>
      <c r="K367" s="11">
        <v>5.05</v>
      </c>
      <c r="L367" s="11">
        <v>3.5510000000000002</v>
      </c>
    </row>
    <row r="368" spans="1:12" x14ac:dyDescent="0.3">
      <c r="A368" s="2">
        <v>45071</v>
      </c>
      <c r="B368" s="11">
        <v>4151.28</v>
      </c>
      <c r="C368" s="11">
        <v>12698.09</v>
      </c>
      <c r="D368" s="11">
        <v>86.162999999999997</v>
      </c>
      <c r="E368" s="11">
        <v>2554.69</v>
      </c>
      <c r="F368" s="11">
        <v>847.72</v>
      </c>
      <c r="G368" s="11">
        <v>72.277299999999997</v>
      </c>
      <c r="H368" s="11">
        <v>86.067499999999995</v>
      </c>
      <c r="I368" s="11">
        <v>3.5</v>
      </c>
      <c r="J368" s="11">
        <v>3.6360000000000001</v>
      </c>
      <c r="K368" s="11">
        <v>5.0599999999999996</v>
      </c>
      <c r="L368" s="11">
        <v>3.6030000000000002</v>
      </c>
    </row>
    <row r="369" spans="1:12" x14ac:dyDescent="0.3">
      <c r="A369" s="2">
        <v>45072</v>
      </c>
      <c r="B369" s="11">
        <v>4205.45</v>
      </c>
      <c r="C369" s="11">
        <v>12975.69</v>
      </c>
      <c r="D369" s="11">
        <v>87.293499999999995</v>
      </c>
      <c r="E369" s="11">
        <v>2558.81</v>
      </c>
      <c r="F369" s="11">
        <v>843.23</v>
      </c>
      <c r="G369" s="11">
        <v>72.259600000000006</v>
      </c>
      <c r="H369" s="11">
        <v>86.227599999999995</v>
      </c>
      <c r="I369" s="11">
        <v>3.5</v>
      </c>
      <c r="J369" s="11">
        <v>3.5819999999999999</v>
      </c>
      <c r="K369" s="11">
        <v>5.0599999999999996</v>
      </c>
      <c r="L369" s="11">
        <v>3.5569999999999999</v>
      </c>
    </row>
    <row r="370" spans="1:12" x14ac:dyDescent="0.3">
      <c r="A370" s="2">
        <v>45075</v>
      </c>
      <c r="B370" s="11">
        <v>4205.45</v>
      </c>
      <c r="C370" s="11">
        <v>12975.69</v>
      </c>
      <c r="D370" s="11">
        <v>87.293499999999995</v>
      </c>
      <c r="E370" s="11">
        <v>2558.81</v>
      </c>
      <c r="F370" s="11">
        <v>843.23</v>
      </c>
      <c r="G370" s="11">
        <v>72.259600000000006</v>
      </c>
      <c r="H370" s="11">
        <v>86.227599999999995</v>
      </c>
      <c r="I370" s="11">
        <v>3.5</v>
      </c>
      <c r="J370" s="11">
        <v>3.5819999999999999</v>
      </c>
      <c r="K370" s="11">
        <v>5.0599999999999996</v>
      </c>
      <c r="L370" s="11">
        <v>3.5</v>
      </c>
    </row>
    <row r="371" spans="1:12" x14ac:dyDescent="0.3">
      <c r="A371" s="2">
        <v>45076</v>
      </c>
      <c r="B371" s="11">
        <v>4205.5200000000004</v>
      </c>
      <c r="C371" s="11">
        <v>13017.43</v>
      </c>
      <c r="D371" s="11">
        <v>86.935500000000005</v>
      </c>
      <c r="E371" s="11">
        <v>2585.52</v>
      </c>
      <c r="F371" s="11">
        <v>851.5</v>
      </c>
      <c r="G371" s="11">
        <v>72.401499999999999</v>
      </c>
      <c r="H371" s="11">
        <v>86.903700000000001</v>
      </c>
      <c r="I371" s="11">
        <v>3.5</v>
      </c>
      <c r="J371" s="11">
        <v>3.5289999999999999</v>
      </c>
      <c r="K371" s="11">
        <v>5.0599999999999996</v>
      </c>
      <c r="L371" s="11">
        <v>3.5369999999999999</v>
      </c>
    </row>
    <row r="372" spans="1:12" x14ac:dyDescent="0.3">
      <c r="A372" s="2">
        <v>45077</v>
      </c>
      <c r="B372" s="11">
        <v>4179.83</v>
      </c>
      <c r="C372" s="11">
        <v>12935.29</v>
      </c>
      <c r="D372" s="11">
        <v>86.313699999999997</v>
      </c>
      <c r="E372" s="11">
        <v>2577.12</v>
      </c>
      <c r="F372" s="11">
        <v>856.94</v>
      </c>
      <c r="G372" s="11">
        <v>72.472499999999997</v>
      </c>
      <c r="H372" s="11">
        <v>87.232799999999997</v>
      </c>
      <c r="I372" s="11">
        <v>3.5</v>
      </c>
      <c r="J372" s="11">
        <v>3.5950000000000002</v>
      </c>
      <c r="K372" s="11">
        <v>5.08</v>
      </c>
      <c r="L372" s="11">
        <v>3.5430000000000001</v>
      </c>
    </row>
    <row r="373" spans="1:12" x14ac:dyDescent="0.3">
      <c r="A373" s="2">
        <v>45078</v>
      </c>
      <c r="B373" s="11">
        <v>4221.0200000000004</v>
      </c>
      <c r="C373" s="11">
        <v>13100.98</v>
      </c>
      <c r="D373" s="11">
        <v>87.340599999999995</v>
      </c>
      <c r="E373" s="11">
        <v>2569.17</v>
      </c>
      <c r="F373" s="11">
        <v>863.78</v>
      </c>
      <c r="G373" s="11">
        <v>72.585499999999996</v>
      </c>
      <c r="H373" s="11">
        <v>87.474999999999994</v>
      </c>
      <c r="I373" s="11">
        <v>3.5</v>
      </c>
      <c r="J373" s="11">
        <v>3.528</v>
      </c>
      <c r="K373" s="11">
        <v>5.08</v>
      </c>
      <c r="L373" s="11">
        <v>3.55</v>
      </c>
    </row>
    <row r="374" spans="1:12" x14ac:dyDescent="0.3">
      <c r="A374" s="2">
        <v>45079</v>
      </c>
      <c r="B374" s="11">
        <v>4282.37</v>
      </c>
      <c r="C374" s="11">
        <v>13240.77</v>
      </c>
      <c r="D374" s="11">
        <v>88.640699999999995</v>
      </c>
      <c r="E374" s="11">
        <v>2601.36</v>
      </c>
      <c r="F374" s="11">
        <v>868.06</v>
      </c>
      <c r="G374" s="11">
        <v>72.380899999999997</v>
      </c>
      <c r="H374" s="11">
        <v>86.779499999999999</v>
      </c>
      <c r="I374" s="11">
        <v>3.5</v>
      </c>
      <c r="J374" s="11">
        <v>3.5219999999999998</v>
      </c>
      <c r="K374" s="11">
        <v>5.07</v>
      </c>
      <c r="L374" s="11">
        <v>3.504</v>
      </c>
    </row>
    <row r="375" spans="1:12" x14ac:dyDescent="0.3">
      <c r="A375" s="2">
        <v>45082</v>
      </c>
      <c r="B375" s="11">
        <v>4273.79</v>
      </c>
      <c r="C375" s="11">
        <v>13229.43</v>
      </c>
      <c r="D375" s="11">
        <v>88.405199999999994</v>
      </c>
      <c r="E375" s="11">
        <v>2615.41</v>
      </c>
      <c r="F375" s="11">
        <v>870.28</v>
      </c>
      <c r="G375" s="11">
        <v>72.398700000000005</v>
      </c>
      <c r="H375" s="11">
        <v>86.752700000000004</v>
      </c>
      <c r="I375" s="11">
        <v>3.5</v>
      </c>
      <c r="J375" s="11">
        <v>3.53</v>
      </c>
      <c r="K375" s="11">
        <v>5.0599999999999996</v>
      </c>
      <c r="L375" s="11">
        <v>3.4870000000000001</v>
      </c>
    </row>
    <row r="376" spans="1:12" x14ac:dyDescent="0.3">
      <c r="A376" s="2">
        <v>45083</v>
      </c>
      <c r="B376" s="11">
        <v>4283.8500000000004</v>
      </c>
      <c r="C376" s="11">
        <v>13276.42</v>
      </c>
      <c r="D376" s="11">
        <v>88.829099999999997</v>
      </c>
      <c r="E376" s="11">
        <v>2615.41</v>
      </c>
      <c r="F376" s="11">
        <v>870.28</v>
      </c>
      <c r="G376" s="11">
        <v>72.363100000000003</v>
      </c>
      <c r="H376" s="11">
        <v>86.806200000000004</v>
      </c>
      <c r="I376" s="11">
        <v>3.5</v>
      </c>
      <c r="J376" s="11">
        <v>3.53</v>
      </c>
      <c r="K376" s="11">
        <v>5.05</v>
      </c>
      <c r="L376" s="11">
        <v>3.5</v>
      </c>
    </row>
    <row r="377" spans="1:12" x14ac:dyDescent="0.3">
      <c r="A377" s="2">
        <v>45084</v>
      </c>
      <c r="B377" s="11">
        <v>4267.5200000000004</v>
      </c>
      <c r="C377" s="11">
        <v>13104.89</v>
      </c>
      <c r="D377" s="11">
        <v>88.355999999999995</v>
      </c>
      <c r="E377" s="11">
        <v>2615.6</v>
      </c>
      <c r="F377" s="11">
        <v>880.72</v>
      </c>
      <c r="G377" s="11">
        <v>72.309799999999996</v>
      </c>
      <c r="H377" s="11">
        <v>86.173100000000005</v>
      </c>
      <c r="I377" s="11">
        <v>3.5</v>
      </c>
      <c r="J377" s="11">
        <v>3.53</v>
      </c>
      <c r="K377" s="11">
        <v>5.05</v>
      </c>
      <c r="L377" s="11">
        <v>3.4910000000000001</v>
      </c>
    </row>
    <row r="378" spans="1:12" x14ac:dyDescent="0.3">
      <c r="A378" s="2">
        <v>45085</v>
      </c>
      <c r="B378" s="11">
        <v>4293.93</v>
      </c>
      <c r="C378" s="11">
        <v>13238.52</v>
      </c>
      <c r="D378" s="11">
        <v>88.993700000000004</v>
      </c>
      <c r="E378" s="11">
        <v>2610.85</v>
      </c>
      <c r="F378" s="11">
        <v>876.13</v>
      </c>
      <c r="G378" s="11">
        <v>72.425399999999996</v>
      </c>
      <c r="H378" s="11">
        <v>86.752700000000004</v>
      </c>
      <c r="I378" s="11">
        <v>3.5</v>
      </c>
      <c r="J378" s="11">
        <v>3.5950000000000002</v>
      </c>
      <c r="K378" s="11">
        <v>5.05</v>
      </c>
      <c r="L378" s="11">
        <v>3.5609999999999999</v>
      </c>
    </row>
    <row r="379" spans="1:12" x14ac:dyDescent="0.3">
      <c r="A379" s="2">
        <v>45086</v>
      </c>
      <c r="B379" s="11">
        <v>4298.8599999999997</v>
      </c>
      <c r="C379" s="11">
        <v>13259.14</v>
      </c>
      <c r="D379" s="11">
        <v>89.117400000000004</v>
      </c>
      <c r="E379" s="11">
        <v>2641.16</v>
      </c>
      <c r="F379" s="11">
        <v>883.71</v>
      </c>
      <c r="G379" s="11">
        <v>72.292000000000002</v>
      </c>
      <c r="H379" s="11">
        <v>86.440700000000007</v>
      </c>
      <c r="I379" s="11">
        <v>3.5</v>
      </c>
      <c r="J379" s="11">
        <v>3.6120000000000001</v>
      </c>
      <c r="K379" s="11">
        <v>5.05</v>
      </c>
      <c r="L379" s="11">
        <v>3.569</v>
      </c>
    </row>
    <row r="380" spans="1:12" x14ac:dyDescent="0.3">
      <c r="A380" s="2">
        <v>45089</v>
      </c>
      <c r="B380" s="11">
        <v>4338.93</v>
      </c>
      <c r="C380" s="11">
        <v>13461.92</v>
      </c>
      <c r="D380" s="11">
        <v>89.764499999999998</v>
      </c>
      <c r="E380" s="11">
        <v>2629.35</v>
      </c>
      <c r="F380" s="11">
        <v>885.76</v>
      </c>
      <c r="G380" s="11">
        <v>72.354200000000006</v>
      </c>
      <c r="H380" s="11">
        <v>86.583299999999994</v>
      </c>
      <c r="I380" s="11">
        <v>3.5</v>
      </c>
      <c r="J380" s="11">
        <v>3.5859999999999999</v>
      </c>
      <c r="K380" s="11">
        <v>5.05</v>
      </c>
      <c r="L380" s="11">
        <v>3.56</v>
      </c>
    </row>
    <row r="381" spans="1:12" x14ac:dyDescent="0.3">
      <c r="A381" s="2">
        <v>45090</v>
      </c>
      <c r="B381" s="11">
        <v>4369.01</v>
      </c>
      <c r="C381" s="11">
        <v>13573.32</v>
      </c>
      <c r="D381" s="11">
        <v>90.459299999999999</v>
      </c>
      <c r="E381" s="11">
        <v>2637.95</v>
      </c>
      <c r="F381" s="11">
        <v>896.81</v>
      </c>
      <c r="G381" s="11">
        <v>72.220799999999997</v>
      </c>
      <c r="H381" s="11">
        <v>85.968100000000007</v>
      </c>
      <c r="I381" s="11">
        <v>3.5</v>
      </c>
      <c r="J381" s="11">
        <v>3.5510000000000002</v>
      </c>
      <c r="K381" s="11">
        <v>5.05</v>
      </c>
      <c r="L381" s="11">
        <v>3.5390000000000001</v>
      </c>
    </row>
    <row r="382" spans="1:12" x14ac:dyDescent="0.3">
      <c r="A382" s="2">
        <v>45091</v>
      </c>
      <c r="B382" s="11">
        <v>4372.59</v>
      </c>
      <c r="C382" s="11">
        <v>13626.48</v>
      </c>
      <c r="D382" s="11">
        <v>90.678200000000004</v>
      </c>
      <c r="E382" s="11">
        <v>2619.08</v>
      </c>
      <c r="F382" s="11">
        <v>871.83</v>
      </c>
      <c r="G382" s="11">
        <v>72.176400000000001</v>
      </c>
      <c r="H382" s="11">
        <v>86.084000000000003</v>
      </c>
      <c r="I382" s="11">
        <v>3.5</v>
      </c>
      <c r="J382" s="11">
        <v>3.55</v>
      </c>
      <c r="K382" s="11">
        <v>5.05</v>
      </c>
      <c r="L382" s="11">
        <v>3.532</v>
      </c>
    </row>
    <row r="383" spans="1:12" x14ac:dyDescent="0.3">
      <c r="A383" s="2">
        <v>45092</v>
      </c>
      <c r="B383" s="11">
        <v>4425.84</v>
      </c>
      <c r="C383" s="11">
        <v>13782.82</v>
      </c>
      <c r="D383" s="11">
        <v>91.706000000000003</v>
      </c>
      <c r="E383" s="11">
        <v>2608.54</v>
      </c>
      <c r="F383" s="11">
        <v>878.04</v>
      </c>
      <c r="G383" s="11">
        <v>72.327600000000004</v>
      </c>
      <c r="H383" s="11">
        <v>86.752700000000004</v>
      </c>
      <c r="I383" s="11">
        <v>3.5</v>
      </c>
      <c r="J383" s="11">
        <v>3.585</v>
      </c>
      <c r="K383" s="11">
        <v>5.0599999999999996</v>
      </c>
      <c r="L383" s="11">
        <v>3.58</v>
      </c>
    </row>
    <row r="384" spans="1:12" x14ac:dyDescent="0.3">
      <c r="A384" s="2">
        <v>45093</v>
      </c>
      <c r="B384" s="11">
        <v>4409.59</v>
      </c>
      <c r="C384" s="11">
        <v>13689.57</v>
      </c>
      <c r="D384" s="11">
        <v>91.439499999999995</v>
      </c>
      <c r="E384" s="11">
        <v>2625.79</v>
      </c>
      <c r="F384" s="11">
        <v>887.95</v>
      </c>
      <c r="G384" s="11">
        <v>72.229699999999994</v>
      </c>
      <c r="H384" s="11">
        <v>86.378200000000007</v>
      </c>
      <c r="I384" s="11">
        <v>3.5</v>
      </c>
      <c r="J384" s="11">
        <v>3.61</v>
      </c>
      <c r="K384" s="11">
        <v>5.05</v>
      </c>
      <c r="L384" s="11">
        <v>3.5920000000000001</v>
      </c>
    </row>
    <row r="385" spans="1:12" x14ac:dyDescent="0.3">
      <c r="A385" s="2">
        <v>45096</v>
      </c>
      <c r="B385" s="11">
        <v>4409.59</v>
      </c>
      <c r="C385" s="11">
        <v>13689.57</v>
      </c>
      <c r="D385" s="11">
        <v>91.439499999999995</v>
      </c>
      <c r="E385" s="11">
        <v>2609.5</v>
      </c>
      <c r="F385" s="11">
        <v>888.61</v>
      </c>
      <c r="G385" s="11">
        <v>72.229699999999994</v>
      </c>
      <c r="H385" s="11">
        <v>86.378200000000007</v>
      </c>
      <c r="I385" s="11">
        <v>3.5</v>
      </c>
      <c r="J385" s="11">
        <v>3.61</v>
      </c>
      <c r="K385" s="11">
        <v>5.05</v>
      </c>
      <c r="L385" s="11">
        <v>3.605</v>
      </c>
    </row>
    <row r="386" spans="1:12" x14ac:dyDescent="0.3">
      <c r="A386" s="2">
        <v>45097</v>
      </c>
      <c r="B386" s="11">
        <v>4388.71</v>
      </c>
      <c r="C386" s="11">
        <v>13667.29</v>
      </c>
      <c r="D386" s="11">
        <v>90.602000000000004</v>
      </c>
      <c r="E386" s="11">
        <v>2604.91</v>
      </c>
      <c r="F386" s="11">
        <v>886.41</v>
      </c>
      <c r="G386" s="11">
        <v>72.256399999999999</v>
      </c>
      <c r="H386" s="11">
        <v>86.636799999999994</v>
      </c>
      <c r="I386" s="11">
        <v>3.5</v>
      </c>
      <c r="J386" s="11">
        <v>3.5859999999999999</v>
      </c>
      <c r="K386" s="11">
        <v>5.05</v>
      </c>
      <c r="L386" s="11">
        <v>3.5910000000000002</v>
      </c>
    </row>
    <row r="387" spans="1:12" x14ac:dyDescent="0.3">
      <c r="A387" s="2">
        <v>45098</v>
      </c>
      <c r="B387" s="11">
        <v>4365.6899999999996</v>
      </c>
      <c r="C387" s="11">
        <v>13502.2</v>
      </c>
      <c r="D387" s="11">
        <v>90.287999999999997</v>
      </c>
      <c r="E387" s="11">
        <v>2582.63</v>
      </c>
      <c r="F387" s="11">
        <v>875.7</v>
      </c>
      <c r="G387" s="11">
        <v>72.256399999999999</v>
      </c>
      <c r="H387" s="11">
        <v>86.717100000000002</v>
      </c>
      <c r="I387" s="11">
        <v>3.5</v>
      </c>
      <c r="J387" s="11">
        <v>3.6040000000000001</v>
      </c>
      <c r="K387" s="11">
        <v>5.05</v>
      </c>
      <c r="L387" s="11">
        <v>3.605</v>
      </c>
    </row>
    <row r="388" spans="1:12" x14ac:dyDescent="0.3">
      <c r="A388" s="2">
        <v>45099</v>
      </c>
      <c r="B388" s="11">
        <v>4381.8900000000003</v>
      </c>
      <c r="C388" s="11">
        <v>13630.61</v>
      </c>
      <c r="D388" s="11">
        <v>90.307000000000002</v>
      </c>
      <c r="E388" s="11">
        <v>2593.6999999999998</v>
      </c>
      <c r="F388" s="11">
        <v>876.38</v>
      </c>
      <c r="G388" s="11">
        <v>72.176400000000001</v>
      </c>
      <c r="H388" s="11">
        <v>86.226600000000005</v>
      </c>
      <c r="I388" s="11">
        <v>3.5</v>
      </c>
      <c r="J388" s="11">
        <v>3.58</v>
      </c>
      <c r="K388" s="11">
        <v>5.05</v>
      </c>
      <c r="L388" s="11">
        <v>3.5779999999999998</v>
      </c>
    </row>
    <row r="389" spans="1:12" x14ac:dyDescent="0.3">
      <c r="A389" s="2">
        <v>45100</v>
      </c>
      <c r="B389" s="11">
        <v>4348.33</v>
      </c>
      <c r="C389" s="11">
        <v>13492.52</v>
      </c>
      <c r="D389" s="11">
        <v>89.374300000000005</v>
      </c>
      <c r="E389" s="11">
        <v>2570.1</v>
      </c>
      <c r="F389" s="11">
        <v>874.84</v>
      </c>
      <c r="G389" s="11">
        <v>72.238600000000005</v>
      </c>
      <c r="H389" s="11">
        <v>86.583299999999994</v>
      </c>
      <c r="I389" s="11">
        <v>3.5</v>
      </c>
      <c r="J389" s="11">
        <v>3.6190000000000002</v>
      </c>
      <c r="K389" s="11">
        <v>5.05</v>
      </c>
      <c r="L389" s="11">
        <v>3.617</v>
      </c>
    </row>
    <row r="390" spans="1:12" x14ac:dyDescent="0.3">
      <c r="A390" s="2">
        <v>45103</v>
      </c>
      <c r="B390" s="11">
        <v>4328.82</v>
      </c>
      <c r="C390" s="11">
        <v>13335.78</v>
      </c>
      <c r="D390" s="11">
        <v>89.222099999999998</v>
      </c>
      <c r="E390" s="11">
        <v>2582.1999999999998</v>
      </c>
      <c r="F390" s="11">
        <v>879.5</v>
      </c>
      <c r="G390" s="11">
        <v>72.292000000000002</v>
      </c>
      <c r="H390" s="11">
        <v>86.797300000000007</v>
      </c>
      <c r="I390" s="11">
        <v>3.5</v>
      </c>
      <c r="J390" s="11">
        <v>3.6</v>
      </c>
      <c r="K390" s="11">
        <v>5.05</v>
      </c>
      <c r="L390" s="11">
        <v>3.5590000000000002</v>
      </c>
    </row>
    <row r="391" spans="1:12" x14ac:dyDescent="0.3">
      <c r="A391" s="2">
        <v>45104</v>
      </c>
      <c r="B391" s="11">
        <v>4378.41</v>
      </c>
      <c r="C391" s="11">
        <v>13555.67</v>
      </c>
      <c r="D391" s="11">
        <v>90.164199999999994</v>
      </c>
      <c r="E391" s="11">
        <v>2581.39</v>
      </c>
      <c r="F391" s="11">
        <v>874.14</v>
      </c>
      <c r="G391" s="11">
        <v>72.185299999999998</v>
      </c>
      <c r="H391" s="11">
        <v>86.494200000000006</v>
      </c>
      <c r="I391" s="11">
        <v>3.5</v>
      </c>
      <c r="J391" s="11">
        <v>3.532</v>
      </c>
      <c r="K391" s="11">
        <v>5.05</v>
      </c>
      <c r="L391" s="11">
        <v>3.52</v>
      </c>
    </row>
    <row r="392" spans="1:12" x14ac:dyDescent="0.3">
      <c r="A392" s="2">
        <v>45105</v>
      </c>
      <c r="B392" s="11">
        <v>4376.8599999999997</v>
      </c>
      <c r="C392" s="11">
        <v>13591.75</v>
      </c>
      <c r="D392" s="11">
        <v>90.154700000000005</v>
      </c>
      <c r="E392" s="11">
        <v>2564.19</v>
      </c>
      <c r="F392" s="11">
        <v>866.97</v>
      </c>
      <c r="G392" s="11">
        <v>72.265299999999996</v>
      </c>
      <c r="H392" s="11">
        <v>86.841899999999995</v>
      </c>
      <c r="I392" s="11">
        <v>3.5</v>
      </c>
      <c r="J392" s="11">
        <v>3.5009999999999999</v>
      </c>
      <c r="K392" s="11">
        <v>5.0599999999999996</v>
      </c>
      <c r="L392" s="11">
        <v>3.5310000000000001</v>
      </c>
    </row>
    <row r="393" spans="1:12" x14ac:dyDescent="0.3">
      <c r="A393" s="2">
        <v>45106</v>
      </c>
      <c r="B393" s="11">
        <v>4396.4399999999996</v>
      </c>
      <c r="C393" s="11">
        <v>13591.33</v>
      </c>
      <c r="D393" s="11">
        <v>90.307000000000002</v>
      </c>
      <c r="E393" s="11">
        <v>2550.02</v>
      </c>
      <c r="F393" s="11">
        <v>861.79</v>
      </c>
      <c r="G393" s="11">
        <v>72.087400000000002</v>
      </c>
      <c r="H393" s="11">
        <v>85.950199999999995</v>
      </c>
      <c r="I393" s="11">
        <v>3.5</v>
      </c>
      <c r="J393" s="11">
        <v>3.5230000000000001</v>
      </c>
      <c r="K393" s="11">
        <v>5.0599999999999996</v>
      </c>
      <c r="L393" s="11">
        <v>3.5339999999999998</v>
      </c>
    </row>
    <row r="394" spans="1:12" x14ac:dyDescent="0.3">
      <c r="A394" s="2">
        <v>45107</v>
      </c>
      <c r="B394" s="11">
        <v>4450.38</v>
      </c>
      <c r="C394" s="11">
        <v>13787.92</v>
      </c>
      <c r="D394" s="11">
        <v>91.306299999999993</v>
      </c>
      <c r="E394" s="11">
        <v>2564.2800000000002</v>
      </c>
      <c r="F394" s="11">
        <v>868.24</v>
      </c>
      <c r="G394" s="11">
        <v>72.114099999999993</v>
      </c>
      <c r="H394" s="11">
        <v>86.137500000000003</v>
      </c>
      <c r="I394" s="11">
        <v>3.5</v>
      </c>
      <c r="J394" s="11">
        <v>3.8410000000000002</v>
      </c>
      <c r="K394" s="11">
        <v>5.09</v>
      </c>
      <c r="L394" s="11">
        <v>3.7669999999999999</v>
      </c>
    </row>
    <row r="395" spans="1:12" x14ac:dyDescent="0.3">
      <c r="A395" s="2">
        <v>45110</v>
      </c>
      <c r="B395" s="11">
        <v>4455.59</v>
      </c>
      <c r="C395" s="11">
        <v>13816.77</v>
      </c>
      <c r="D395" s="11">
        <v>91.525199999999998</v>
      </c>
      <c r="E395" s="11">
        <v>2602.4699999999998</v>
      </c>
      <c r="F395" s="11">
        <v>889.29</v>
      </c>
      <c r="G395" s="11">
        <v>72.030299999999997</v>
      </c>
      <c r="H395" s="11">
        <v>85.7637</v>
      </c>
      <c r="I395" s="11">
        <v>3.5</v>
      </c>
      <c r="J395" s="11">
        <v>3.516</v>
      </c>
      <c r="K395" s="11">
        <v>5.0599999999999996</v>
      </c>
      <c r="L395" s="11">
        <v>3.496</v>
      </c>
    </row>
    <row r="396" spans="1:12" x14ac:dyDescent="0.3">
      <c r="A396" s="2">
        <v>45111</v>
      </c>
      <c r="B396" s="11">
        <v>4455.59</v>
      </c>
      <c r="C396" s="11">
        <v>13816.77</v>
      </c>
      <c r="D396" s="11">
        <v>91.525199999999998</v>
      </c>
      <c r="E396" s="11">
        <v>2593.31</v>
      </c>
      <c r="F396" s="11">
        <v>890</v>
      </c>
      <c r="G396" s="11">
        <v>72.030299999999997</v>
      </c>
      <c r="H396" s="11">
        <v>85.7637</v>
      </c>
      <c r="I396" s="11">
        <v>3.5</v>
      </c>
      <c r="J396" s="11">
        <v>3.5230000000000001</v>
      </c>
      <c r="K396" s="11">
        <v>5.0599999999999996</v>
      </c>
      <c r="L396" s="11">
        <v>3.4540000000000002</v>
      </c>
    </row>
    <row r="397" spans="1:12" x14ac:dyDescent="0.3">
      <c r="A397" s="2">
        <v>45112</v>
      </c>
      <c r="B397" s="11">
        <v>4446.82</v>
      </c>
      <c r="C397" s="11">
        <v>13791.65</v>
      </c>
      <c r="D397" s="11">
        <v>91.0779</v>
      </c>
      <c r="E397" s="11">
        <v>2579</v>
      </c>
      <c r="F397" s="11">
        <v>891.18</v>
      </c>
      <c r="G397" s="11">
        <v>72.012500000000003</v>
      </c>
      <c r="H397" s="11">
        <v>85.352500000000006</v>
      </c>
      <c r="I397" s="11">
        <v>3.5</v>
      </c>
      <c r="J397" s="11">
        <v>3.5209999999999999</v>
      </c>
      <c r="K397" s="11">
        <v>5.0599999999999996</v>
      </c>
      <c r="L397" s="11">
        <v>3.488</v>
      </c>
    </row>
    <row r="398" spans="1:12" x14ac:dyDescent="0.3">
      <c r="A398" s="2">
        <v>45113</v>
      </c>
      <c r="B398" s="11">
        <v>4411.59</v>
      </c>
      <c r="C398" s="11">
        <v>13679.04</v>
      </c>
      <c r="D398" s="11">
        <v>89.954899999999995</v>
      </c>
      <c r="E398" s="11">
        <v>2556.29</v>
      </c>
      <c r="F398" s="11">
        <v>870.53</v>
      </c>
      <c r="G398" s="11">
        <v>71.9679</v>
      </c>
      <c r="H398" s="11">
        <v>84.6554</v>
      </c>
      <c r="I398" s="11">
        <v>3.5</v>
      </c>
      <c r="J398" s="11">
        <v>3.528</v>
      </c>
      <c r="K398" s="11">
        <v>5.0599999999999996</v>
      </c>
      <c r="L398" s="11">
        <v>3.5419999999999998</v>
      </c>
    </row>
    <row r="399" spans="1:12" x14ac:dyDescent="0.3">
      <c r="A399" s="2">
        <v>45114</v>
      </c>
      <c r="B399" s="11">
        <v>4398.95</v>
      </c>
      <c r="C399" s="11">
        <v>13660.72</v>
      </c>
      <c r="D399" s="11">
        <v>90.1357</v>
      </c>
      <c r="E399" s="11">
        <v>2526.71</v>
      </c>
      <c r="F399" s="11">
        <v>867.27</v>
      </c>
      <c r="G399" s="11">
        <v>72.048100000000005</v>
      </c>
      <c r="H399" s="11">
        <v>84.548100000000005</v>
      </c>
      <c r="I399" s="11">
        <v>3.5</v>
      </c>
      <c r="J399" s="11">
        <v>3.5840000000000001</v>
      </c>
      <c r="K399" s="11">
        <v>5.0599999999999996</v>
      </c>
      <c r="L399" s="11">
        <v>3.5880000000000001</v>
      </c>
    </row>
    <row r="400" spans="1:12" x14ac:dyDescent="0.3">
      <c r="A400" s="2">
        <v>45117</v>
      </c>
      <c r="B400" s="11">
        <v>4409.53</v>
      </c>
      <c r="C400" s="11">
        <v>13685.48</v>
      </c>
      <c r="D400" s="11">
        <v>90.364099999999993</v>
      </c>
      <c r="E400" s="11">
        <v>2520.6999999999998</v>
      </c>
      <c r="F400" s="11">
        <v>860.35</v>
      </c>
      <c r="G400" s="11">
        <v>72.155100000000004</v>
      </c>
      <c r="H400" s="11">
        <v>84.986099999999993</v>
      </c>
      <c r="I400" s="11">
        <v>3.5</v>
      </c>
      <c r="J400" s="11">
        <v>3.597</v>
      </c>
      <c r="K400" s="11">
        <v>5.0599999999999996</v>
      </c>
      <c r="L400" s="11">
        <v>3.5819999999999999</v>
      </c>
    </row>
    <row r="401" spans="1:12" x14ac:dyDescent="0.3">
      <c r="A401" s="2">
        <v>45118</v>
      </c>
      <c r="B401" s="11">
        <v>4439.26</v>
      </c>
      <c r="C401" s="11">
        <v>13760.7</v>
      </c>
      <c r="D401" s="11">
        <v>91.0779</v>
      </c>
      <c r="E401" s="11">
        <v>2562.4899999999998</v>
      </c>
      <c r="F401" s="11">
        <v>878.73</v>
      </c>
      <c r="G401" s="11">
        <v>72.146199999999993</v>
      </c>
      <c r="H401" s="11">
        <v>85.1648</v>
      </c>
      <c r="I401" s="11">
        <v>3.5</v>
      </c>
      <c r="J401" s="11">
        <v>3.577</v>
      </c>
      <c r="K401" s="11">
        <v>5.0599999999999996</v>
      </c>
      <c r="L401" s="11">
        <v>3.556</v>
      </c>
    </row>
    <row r="402" spans="1:12" x14ac:dyDescent="0.3">
      <c r="A402" s="2">
        <v>45119</v>
      </c>
      <c r="B402" s="11">
        <v>4472.16</v>
      </c>
      <c r="C402" s="11">
        <v>13918.96</v>
      </c>
      <c r="D402" s="11">
        <v>92.172300000000007</v>
      </c>
      <c r="E402" s="11">
        <v>2574.7199999999998</v>
      </c>
      <c r="F402" s="11">
        <v>879.88</v>
      </c>
      <c r="G402" s="11">
        <v>72.360200000000006</v>
      </c>
      <c r="H402" s="11">
        <v>85.996099999999998</v>
      </c>
      <c r="I402" s="11">
        <v>3.5</v>
      </c>
      <c r="J402" s="11">
        <v>3.5230000000000001</v>
      </c>
      <c r="K402" s="11">
        <v>5.05</v>
      </c>
      <c r="L402" s="11">
        <v>3.5270000000000001</v>
      </c>
    </row>
    <row r="403" spans="1:12" x14ac:dyDescent="0.3">
      <c r="A403" s="2">
        <v>45120</v>
      </c>
      <c r="B403" s="11">
        <v>4510.04</v>
      </c>
      <c r="C403" s="11">
        <v>14138.57</v>
      </c>
      <c r="D403" s="11">
        <v>93.219200000000001</v>
      </c>
      <c r="E403" s="11">
        <v>2591.23</v>
      </c>
      <c r="F403" s="11">
        <v>893.07</v>
      </c>
      <c r="G403" s="11">
        <v>72.565299999999993</v>
      </c>
      <c r="H403" s="11">
        <v>86.711200000000005</v>
      </c>
      <c r="I403" s="11">
        <v>3.5</v>
      </c>
      <c r="J403" s="11">
        <v>3.5489999999999999</v>
      </c>
      <c r="K403" s="11">
        <v>5.0599999999999996</v>
      </c>
      <c r="L403" s="11">
        <v>3.5139999999999998</v>
      </c>
    </row>
    <row r="404" spans="1:12" x14ac:dyDescent="0.3">
      <c r="A404" s="2">
        <v>45121</v>
      </c>
      <c r="B404" s="11">
        <v>4505.42</v>
      </c>
      <c r="C404" s="11">
        <v>14113.7</v>
      </c>
      <c r="D404" s="11">
        <v>92.962199999999996</v>
      </c>
      <c r="E404" s="11">
        <v>2628.3</v>
      </c>
      <c r="F404" s="11">
        <v>896.28</v>
      </c>
      <c r="G404" s="11">
        <v>72.378100000000003</v>
      </c>
      <c r="H404" s="11">
        <v>86.2821</v>
      </c>
      <c r="I404" s="11">
        <v>3.5</v>
      </c>
      <c r="J404" s="11">
        <v>3.508</v>
      </c>
      <c r="K404" s="11">
        <v>5.05</v>
      </c>
      <c r="L404" s="11">
        <v>3.5070000000000001</v>
      </c>
    </row>
    <row r="405" spans="1:12" x14ac:dyDescent="0.3">
      <c r="A405" s="2">
        <v>45124</v>
      </c>
      <c r="B405" s="11">
        <v>4522.79</v>
      </c>
      <c r="C405" s="11">
        <v>14244.95</v>
      </c>
      <c r="D405" s="11">
        <v>93.200199999999995</v>
      </c>
      <c r="E405" s="11">
        <v>2619</v>
      </c>
      <c r="F405" s="11">
        <v>898.29</v>
      </c>
      <c r="G405" s="11">
        <v>72.404799999999994</v>
      </c>
      <c r="H405" s="11">
        <v>86.425200000000004</v>
      </c>
      <c r="I405" s="11">
        <v>3.5</v>
      </c>
      <c r="J405" s="11">
        <v>3.508</v>
      </c>
      <c r="K405" s="11">
        <v>5.0599999999999996</v>
      </c>
      <c r="L405" s="11">
        <v>3.5059999999999998</v>
      </c>
    </row>
    <row r="406" spans="1:12" x14ac:dyDescent="0.3">
      <c r="A406" s="2">
        <v>45125</v>
      </c>
      <c r="B406" s="11">
        <v>4554.9799999999996</v>
      </c>
      <c r="C406" s="11">
        <v>14353.64</v>
      </c>
      <c r="D406" s="11">
        <v>93.723600000000005</v>
      </c>
      <c r="E406" s="11">
        <v>2607.62</v>
      </c>
      <c r="F406" s="11">
        <v>914.14</v>
      </c>
      <c r="G406" s="11">
        <v>72.404799999999994</v>
      </c>
      <c r="H406" s="11">
        <v>86.523499999999999</v>
      </c>
      <c r="I406" s="11">
        <v>3.5</v>
      </c>
      <c r="J406" s="11">
        <v>3.5</v>
      </c>
      <c r="K406" s="11">
        <v>5.0599999999999996</v>
      </c>
      <c r="L406" s="11">
        <v>3.51</v>
      </c>
    </row>
    <row r="407" spans="1:12" x14ac:dyDescent="0.3">
      <c r="A407" s="2">
        <v>45126</v>
      </c>
      <c r="B407" s="11">
        <v>4565.72</v>
      </c>
      <c r="C407" s="11">
        <v>14358.02</v>
      </c>
      <c r="D407" s="11">
        <v>93.837800000000001</v>
      </c>
      <c r="E407" s="11">
        <v>2608.2399999999998</v>
      </c>
      <c r="F407" s="11">
        <v>923.72</v>
      </c>
      <c r="G407" s="11">
        <v>72.431600000000003</v>
      </c>
      <c r="H407" s="11">
        <v>86.818399999999997</v>
      </c>
      <c r="I407" s="11">
        <v>3.5</v>
      </c>
      <c r="J407" s="11">
        <v>3.5</v>
      </c>
      <c r="K407" s="11">
        <v>5.05</v>
      </c>
      <c r="L407" s="11">
        <v>3.5019999999999998</v>
      </c>
    </row>
    <row r="408" spans="1:12" x14ac:dyDescent="0.3">
      <c r="A408" s="2">
        <v>45127</v>
      </c>
      <c r="B408" s="11">
        <v>4534.87</v>
      </c>
      <c r="C408" s="11">
        <v>14063.31</v>
      </c>
      <c r="D408" s="11">
        <v>93.209699999999998</v>
      </c>
      <c r="E408" s="11">
        <v>2600.23</v>
      </c>
      <c r="F408" s="11">
        <v>931.6</v>
      </c>
      <c r="G408" s="11">
        <v>72.342399999999998</v>
      </c>
      <c r="H408" s="11">
        <v>86.130200000000002</v>
      </c>
      <c r="I408" s="11">
        <v>3.5</v>
      </c>
      <c r="J408" s="11">
        <v>3.55</v>
      </c>
      <c r="K408" s="11">
        <v>5.0599999999999996</v>
      </c>
      <c r="L408" s="11">
        <v>3.528</v>
      </c>
    </row>
    <row r="409" spans="1:12" x14ac:dyDescent="0.3">
      <c r="A409" s="2">
        <v>45128</v>
      </c>
      <c r="B409" s="11">
        <v>4536.34</v>
      </c>
      <c r="C409" s="11">
        <v>14032.81</v>
      </c>
      <c r="D409" s="11">
        <v>93.257300000000001</v>
      </c>
      <c r="E409" s="11">
        <v>2609.7600000000002</v>
      </c>
      <c r="F409" s="11">
        <v>934.58</v>
      </c>
      <c r="G409" s="11">
        <v>72.351299999999995</v>
      </c>
      <c r="H409" s="11">
        <v>86.201700000000002</v>
      </c>
      <c r="I409" s="11">
        <v>3.5</v>
      </c>
      <c r="J409" s="11">
        <v>3.5339999999999998</v>
      </c>
      <c r="K409" s="11">
        <v>5.05</v>
      </c>
      <c r="L409" s="11">
        <v>3.4809999999999999</v>
      </c>
    </row>
    <row r="410" spans="1:12" x14ac:dyDescent="0.3">
      <c r="A410" s="2">
        <v>45131</v>
      </c>
      <c r="B410" s="11">
        <v>4554.6400000000003</v>
      </c>
      <c r="C410" s="11">
        <v>14058.87</v>
      </c>
      <c r="D410" s="11">
        <v>93.590400000000002</v>
      </c>
      <c r="E410" s="11">
        <v>2628.53</v>
      </c>
      <c r="F410" s="11">
        <v>929.9</v>
      </c>
      <c r="G410" s="11">
        <v>72.262100000000004</v>
      </c>
      <c r="H410" s="11">
        <v>85.996099999999998</v>
      </c>
      <c r="I410" s="11">
        <v>3.5</v>
      </c>
      <c r="J410" s="11">
        <v>3.4790000000000001</v>
      </c>
      <c r="K410" s="11">
        <v>5.05</v>
      </c>
      <c r="L410" s="11">
        <v>3.4980000000000002</v>
      </c>
    </row>
    <row r="411" spans="1:12" x14ac:dyDescent="0.3">
      <c r="A411" s="2">
        <v>45132</v>
      </c>
      <c r="B411" s="11">
        <v>4567.46</v>
      </c>
      <c r="C411" s="11">
        <v>14144.56</v>
      </c>
      <c r="D411" s="11">
        <v>93.894900000000007</v>
      </c>
      <c r="E411" s="11">
        <v>2636.46</v>
      </c>
      <c r="F411" s="11">
        <v>939.96</v>
      </c>
      <c r="G411" s="11">
        <v>72.253200000000007</v>
      </c>
      <c r="H411" s="11">
        <v>85.8352</v>
      </c>
      <c r="I411" s="11">
        <v>3.5</v>
      </c>
      <c r="J411" s="11">
        <v>3.4849999999999999</v>
      </c>
      <c r="K411" s="11">
        <v>5.0599999999999996</v>
      </c>
      <c r="L411" s="11">
        <v>3.49</v>
      </c>
    </row>
    <row r="412" spans="1:12" x14ac:dyDescent="0.3">
      <c r="A412" s="2">
        <v>45133</v>
      </c>
      <c r="B412" s="11">
        <v>4566.75</v>
      </c>
      <c r="C412" s="11">
        <v>14127.28</v>
      </c>
      <c r="D412" s="11">
        <v>94.018600000000006</v>
      </c>
      <c r="E412" s="11">
        <v>2592.36</v>
      </c>
      <c r="F412" s="11">
        <v>900.63</v>
      </c>
      <c r="G412" s="11">
        <v>72.324600000000004</v>
      </c>
      <c r="H412" s="11">
        <v>86.130200000000002</v>
      </c>
      <c r="I412" s="11">
        <v>3.5</v>
      </c>
      <c r="J412" s="11">
        <v>3.4649999999999999</v>
      </c>
      <c r="K412" s="11">
        <v>5.0599999999999996</v>
      </c>
      <c r="L412" s="11">
        <v>3.4830000000000001</v>
      </c>
    </row>
    <row r="413" spans="1:12" x14ac:dyDescent="0.3">
      <c r="A413" s="2">
        <v>45134</v>
      </c>
      <c r="B413" s="11">
        <v>4537.41</v>
      </c>
      <c r="C413" s="11">
        <v>14050.11</v>
      </c>
      <c r="D413" s="11">
        <v>93.428600000000003</v>
      </c>
      <c r="E413" s="11">
        <v>2603.81</v>
      </c>
      <c r="F413" s="11">
        <v>883.79</v>
      </c>
      <c r="G413" s="11">
        <v>72.217600000000004</v>
      </c>
      <c r="H413" s="11">
        <v>85.191699999999997</v>
      </c>
      <c r="I413" s="11">
        <v>3.5</v>
      </c>
      <c r="J413" s="11">
        <v>3.4489999999999998</v>
      </c>
      <c r="K413" s="11">
        <v>5.31</v>
      </c>
      <c r="L413" s="11">
        <v>3.4460000000000002</v>
      </c>
    </row>
    <row r="414" spans="1:12" x14ac:dyDescent="0.3">
      <c r="A414" s="2">
        <v>45135</v>
      </c>
      <c r="B414" s="11">
        <v>4582.2299999999996</v>
      </c>
      <c r="C414" s="11">
        <v>14316.66</v>
      </c>
      <c r="D414" s="11">
        <v>94.408799999999999</v>
      </c>
      <c r="E414" s="11">
        <v>2608.3200000000002</v>
      </c>
      <c r="F414" s="11">
        <v>913.74</v>
      </c>
      <c r="G414" s="11">
        <v>72.315600000000003</v>
      </c>
      <c r="H414" s="11">
        <v>85.468699999999998</v>
      </c>
      <c r="I414" s="11">
        <v>3.5</v>
      </c>
      <c r="J414" s="11">
        <v>3.456</v>
      </c>
      <c r="K414" s="11">
        <v>5.3</v>
      </c>
      <c r="L414" s="11">
        <v>3.4609999999999999</v>
      </c>
    </row>
    <row r="415" spans="1:12" x14ac:dyDescent="0.3">
      <c r="A415" s="2">
        <v>45138</v>
      </c>
      <c r="B415" s="11">
        <v>4588.96</v>
      </c>
      <c r="C415" s="11">
        <v>14346.02</v>
      </c>
      <c r="D415" s="11">
        <v>94.589699999999993</v>
      </c>
      <c r="E415" s="11">
        <v>2632.58</v>
      </c>
      <c r="F415" s="11">
        <v>935.97</v>
      </c>
      <c r="G415" s="11">
        <v>72.333500000000001</v>
      </c>
      <c r="H415" s="11">
        <v>85.575999999999993</v>
      </c>
      <c r="I415" s="11">
        <v>3.5</v>
      </c>
      <c r="J415" s="11">
        <v>3.5110000000000001</v>
      </c>
      <c r="K415" s="11">
        <v>5.31</v>
      </c>
      <c r="L415" s="11">
        <v>3.488</v>
      </c>
    </row>
    <row r="416" spans="1:12" x14ac:dyDescent="0.3">
      <c r="A416" s="2">
        <v>45139</v>
      </c>
      <c r="B416" s="11">
        <v>4576.7299999999996</v>
      </c>
      <c r="C416" s="11">
        <v>14283.91</v>
      </c>
      <c r="D416" s="11">
        <v>93.933000000000007</v>
      </c>
      <c r="E416" s="11">
        <v>2667.07</v>
      </c>
      <c r="F416" s="11">
        <v>939.67</v>
      </c>
      <c r="G416" s="11">
        <v>72.272499999999994</v>
      </c>
      <c r="H416" s="11">
        <v>85.075599999999994</v>
      </c>
      <c r="I416" s="11">
        <v>3.5</v>
      </c>
      <c r="J416" s="11">
        <v>3.4660000000000002</v>
      </c>
      <c r="K416" s="11">
        <v>5.31</v>
      </c>
      <c r="L416" s="11">
        <v>3.4550000000000001</v>
      </c>
    </row>
    <row r="417" spans="1:12" x14ac:dyDescent="0.3">
      <c r="A417" s="2">
        <v>45140</v>
      </c>
      <c r="B417" s="11">
        <v>4513.3900000000003</v>
      </c>
      <c r="C417" s="11">
        <v>13973.45</v>
      </c>
      <c r="D417" s="11">
        <v>92.381699999999995</v>
      </c>
      <c r="E417" s="11">
        <v>2616.4699999999998</v>
      </c>
      <c r="F417" s="11">
        <v>909.76</v>
      </c>
      <c r="G417" s="11">
        <v>72.308300000000003</v>
      </c>
      <c r="H417" s="11">
        <v>84.905299999999997</v>
      </c>
      <c r="I417" s="11">
        <v>3.5</v>
      </c>
      <c r="J417" s="11">
        <v>3.4470000000000001</v>
      </c>
      <c r="K417" s="11">
        <v>5.3</v>
      </c>
      <c r="L417" s="11">
        <v>3.4359999999999999</v>
      </c>
    </row>
    <row r="418" spans="1:12" x14ac:dyDescent="0.3">
      <c r="A418" s="2">
        <v>45141</v>
      </c>
      <c r="B418" s="11">
        <v>4501.8900000000003</v>
      </c>
      <c r="C418" s="11">
        <v>13959.72</v>
      </c>
      <c r="D418" s="11">
        <v>92.162800000000004</v>
      </c>
      <c r="E418" s="11">
        <v>2605.39</v>
      </c>
      <c r="F418" s="11">
        <v>920.32</v>
      </c>
      <c r="G418" s="11">
        <v>72.335099999999997</v>
      </c>
      <c r="H418" s="11">
        <v>84.278099999999995</v>
      </c>
      <c r="I418" s="11">
        <v>3.5</v>
      </c>
      <c r="J418" s="11">
        <v>3.4430000000000001</v>
      </c>
      <c r="K418" s="11">
        <v>5.3</v>
      </c>
      <c r="L418" s="11">
        <v>3.45</v>
      </c>
    </row>
    <row r="419" spans="1:12" x14ac:dyDescent="0.3">
      <c r="A419" s="2">
        <v>45142</v>
      </c>
      <c r="B419" s="11">
        <v>4478.03</v>
      </c>
      <c r="C419" s="11">
        <v>13909.24</v>
      </c>
      <c r="D419" s="11">
        <v>91.972499999999997</v>
      </c>
      <c r="E419" s="11">
        <v>2602.8000000000002</v>
      </c>
      <c r="F419" s="11">
        <v>918.43</v>
      </c>
      <c r="G419" s="11">
        <v>72.478099999999998</v>
      </c>
      <c r="H419" s="11">
        <v>85.174199999999999</v>
      </c>
      <c r="I419" s="11">
        <v>3.5</v>
      </c>
      <c r="J419" s="11">
        <v>3.472</v>
      </c>
      <c r="K419" s="11">
        <v>5.3</v>
      </c>
      <c r="L419" s="11">
        <v>3.5030000000000001</v>
      </c>
    </row>
    <row r="420" spans="1:12" x14ac:dyDescent="0.3">
      <c r="A420" s="2">
        <v>45145</v>
      </c>
      <c r="B420" s="11">
        <v>4518.4399999999996</v>
      </c>
      <c r="C420" s="11">
        <v>13994.4</v>
      </c>
      <c r="D420" s="11">
        <v>92.591099999999997</v>
      </c>
      <c r="E420" s="11">
        <v>2580.71</v>
      </c>
      <c r="F420" s="11">
        <v>898.22</v>
      </c>
      <c r="G420" s="11">
        <v>72.504999999999995</v>
      </c>
      <c r="H420" s="11">
        <v>84.968100000000007</v>
      </c>
      <c r="I420" s="11">
        <v>3.5</v>
      </c>
      <c r="J420" s="11">
        <v>3.5350000000000001</v>
      </c>
      <c r="K420" s="11">
        <v>5.3</v>
      </c>
      <c r="L420" s="11">
        <v>3.5350000000000001</v>
      </c>
    </row>
    <row r="421" spans="1:12" x14ac:dyDescent="0.3">
      <c r="A421" s="2">
        <v>45146</v>
      </c>
      <c r="B421" s="11">
        <v>4499.38</v>
      </c>
      <c r="C421" s="11">
        <v>13884.32</v>
      </c>
      <c r="D421" s="11">
        <v>92.058099999999996</v>
      </c>
      <c r="E421" s="11">
        <v>2573.98</v>
      </c>
      <c r="F421" s="11">
        <v>892.34</v>
      </c>
      <c r="G421" s="11">
        <v>72.540700000000001</v>
      </c>
      <c r="H421" s="11">
        <v>85.398200000000003</v>
      </c>
      <c r="I421" s="11">
        <v>3.5</v>
      </c>
      <c r="J421" s="11">
        <v>3.5419999999999998</v>
      </c>
      <c r="K421" s="11">
        <v>5.3</v>
      </c>
      <c r="L421" s="11">
        <v>3.4849999999999999</v>
      </c>
    </row>
    <row r="422" spans="1:12" x14ac:dyDescent="0.3">
      <c r="A422" s="2">
        <v>45147</v>
      </c>
      <c r="B422" s="11">
        <v>4467.71</v>
      </c>
      <c r="C422" s="11">
        <v>13772.02</v>
      </c>
      <c r="D422" s="11">
        <v>91.667900000000003</v>
      </c>
      <c r="E422" s="11">
        <v>2605.12</v>
      </c>
      <c r="F422" s="11">
        <v>908.98</v>
      </c>
      <c r="G422" s="11">
        <v>72.495999999999995</v>
      </c>
      <c r="H422" s="11">
        <v>85.451899999999995</v>
      </c>
      <c r="I422" s="11">
        <v>3.5</v>
      </c>
      <c r="J422" s="11">
        <v>3.5409999999999999</v>
      </c>
      <c r="K422" s="11">
        <v>5.3</v>
      </c>
      <c r="L422" s="11">
        <v>3.4870000000000001</v>
      </c>
    </row>
    <row r="423" spans="1:12" x14ac:dyDescent="0.3">
      <c r="A423" s="2">
        <v>45148</v>
      </c>
      <c r="B423" s="11">
        <v>4468.83</v>
      </c>
      <c r="C423" s="11">
        <v>13737.99</v>
      </c>
      <c r="D423" s="11">
        <v>91.810699999999997</v>
      </c>
      <c r="E423" s="11">
        <v>2601.56</v>
      </c>
      <c r="F423" s="11">
        <v>911.29</v>
      </c>
      <c r="G423" s="11">
        <v>72.460300000000004</v>
      </c>
      <c r="H423" s="11">
        <v>84.797799999999995</v>
      </c>
      <c r="I423" s="11">
        <v>3.5</v>
      </c>
      <c r="J423" s="11">
        <v>3.6040000000000001</v>
      </c>
      <c r="K423" s="11">
        <v>5.3</v>
      </c>
      <c r="L423" s="11">
        <v>3.5920000000000001</v>
      </c>
    </row>
    <row r="424" spans="1:12" x14ac:dyDescent="0.3">
      <c r="A424" s="2">
        <v>45149</v>
      </c>
      <c r="B424" s="11">
        <v>4464.05</v>
      </c>
      <c r="C424" s="11">
        <v>13644.85</v>
      </c>
      <c r="D424" s="11">
        <v>91.468100000000007</v>
      </c>
      <c r="E424" s="11">
        <v>2591.2600000000002</v>
      </c>
      <c r="F424" s="11">
        <v>912.2</v>
      </c>
      <c r="G424" s="11">
        <v>72.3887</v>
      </c>
      <c r="H424" s="11">
        <v>84.349699999999999</v>
      </c>
      <c r="I424" s="11">
        <v>3.5</v>
      </c>
      <c r="J424" s="11">
        <v>3.6059999999999999</v>
      </c>
      <c r="K424" s="11">
        <v>5.3</v>
      </c>
      <c r="L424" s="11">
        <v>3.5760000000000001</v>
      </c>
    </row>
    <row r="425" spans="1:12" x14ac:dyDescent="0.3">
      <c r="A425" s="2">
        <v>45152</v>
      </c>
      <c r="B425" s="11">
        <v>4489.72</v>
      </c>
      <c r="C425" s="11">
        <v>13788.33</v>
      </c>
      <c r="D425" s="11">
        <v>91.648899999999998</v>
      </c>
      <c r="E425" s="11">
        <v>2570.87</v>
      </c>
      <c r="F425" s="11">
        <v>901.68</v>
      </c>
      <c r="G425" s="11">
        <v>72.3262</v>
      </c>
      <c r="H425" s="11">
        <v>84.215299999999999</v>
      </c>
      <c r="I425" s="11">
        <v>3.5</v>
      </c>
      <c r="J425" s="11">
        <v>3.597</v>
      </c>
      <c r="K425" s="11">
        <v>5.3</v>
      </c>
      <c r="L425" s="11">
        <v>3.58</v>
      </c>
    </row>
    <row r="426" spans="1:12" x14ac:dyDescent="0.3">
      <c r="A426" s="2">
        <v>45153</v>
      </c>
      <c r="B426" s="11">
        <v>4437.8599999999997</v>
      </c>
      <c r="C426" s="11">
        <v>13631.05</v>
      </c>
      <c r="D426" s="11">
        <v>90.525899999999993</v>
      </c>
      <c r="E426" s="11">
        <v>2570.87</v>
      </c>
      <c r="F426" s="11">
        <v>901.68</v>
      </c>
      <c r="G426" s="11">
        <v>72.352999999999994</v>
      </c>
      <c r="H426" s="11">
        <v>84.054000000000002</v>
      </c>
      <c r="I426" s="11">
        <v>3.5</v>
      </c>
      <c r="J426" s="11">
        <v>3.597</v>
      </c>
      <c r="K426" s="11">
        <v>5.3</v>
      </c>
      <c r="L426" s="11">
        <v>3.5</v>
      </c>
    </row>
    <row r="427" spans="1:12" x14ac:dyDescent="0.3">
      <c r="A427" s="2">
        <v>45154</v>
      </c>
      <c r="B427" s="11">
        <v>4404.33</v>
      </c>
      <c r="C427" s="11">
        <v>13474.63</v>
      </c>
      <c r="D427" s="11">
        <v>89.831100000000006</v>
      </c>
      <c r="E427" s="11">
        <v>2525.64</v>
      </c>
      <c r="F427" s="11">
        <v>878.29</v>
      </c>
      <c r="G427" s="11">
        <v>72.3172</v>
      </c>
      <c r="H427" s="11">
        <v>83.731399999999994</v>
      </c>
      <c r="I427" s="11">
        <v>3.5</v>
      </c>
      <c r="J427" s="11">
        <v>3.5939999999999999</v>
      </c>
      <c r="K427" s="11">
        <v>5.3</v>
      </c>
      <c r="L427" s="11">
        <v>3.569</v>
      </c>
    </row>
    <row r="428" spans="1:12" x14ac:dyDescent="0.3">
      <c r="A428" s="2">
        <v>45155</v>
      </c>
      <c r="B428" s="11">
        <v>4370.3599999999997</v>
      </c>
      <c r="C428" s="11">
        <v>13316.93</v>
      </c>
      <c r="D428" s="11">
        <v>89.241100000000003</v>
      </c>
      <c r="E428" s="11">
        <v>2519.85</v>
      </c>
      <c r="F428" s="11">
        <v>886.04</v>
      </c>
      <c r="G428" s="11">
        <v>72.3977</v>
      </c>
      <c r="H428" s="11">
        <v>83.623900000000006</v>
      </c>
      <c r="I428" s="11">
        <v>3.5</v>
      </c>
      <c r="J428" s="11">
        <v>3.5760000000000001</v>
      </c>
      <c r="K428" s="11">
        <v>5.3</v>
      </c>
      <c r="L428" s="11">
        <v>3.5569999999999999</v>
      </c>
    </row>
    <row r="429" spans="1:12" x14ac:dyDescent="0.3">
      <c r="A429" s="2">
        <v>45156</v>
      </c>
      <c r="B429" s="11">
        <v>4369.71</v>
      </c>
      <c r="C429" s="11">
        <v>13290.78</v>
      </c>
      <c r="D429" s="11">
        <v>89.203000000000003</v>
      </c>
      <c r="E429" s="11">
        <v>2504.5</v>
      </c>
      <c r="F429" s="11">
        <v>877.32</v>
      </c>
      <c r="G429" s="11">
        <v>72.424499999999995</v>
      </c>
      <c r="H429" s="11">
        <v>83.874799999999993</v>
      </c>
      <c r="I429" s="11">
        <v>3.5</v>
      </c>
      <c r="J429" s="11">
        <v>3.5760000000000001</v>
      </c>
      <c r="K429" s="11">
        <v>5.3</v>
      </c>
      <c r="L429" s="11">
        <v>3.5470000000000002</v>
      </c>
    </row>
    <row r="430" spans="1:12" x14ac:dyDescent="0.3">
      <c r="A430" s="2">
        <v>45159</v>
      </c>
      <c r="B430" s="11">
        <v>4399.7700000000004</v>
      </c>
      <c r="C430" s="11">
        <v>13497.59</v>
      </c>
      <c r="D430" s="11">
        <v>89.669399999999996</v>
      </c>
      <c r="E430" s="11">
        <v>2508.8000000000002</v>
      </c>
      <c r="F430" s="11">
        <v>888.71</v>
      </c>
      <c r="G430" s="11">
        <v>72.343999999999994</v>
      </c>
      <c r="H430" s="11">
        <v>83.355099999999993</v>
      </c>
      <c r="I430" s="11">
        <v>3.5</v>
      </c>
      <c r="J430" s="11">
        <v>3.55</v>
      </c>
      <c r="K430" s="11">
        <v>5.3</v>
      </c>
      <c r="L430" s="11">
        <v>3.5449999999999999</v>
      </c>
    </row>
    <row r="431" spans="1:12" x14ac:dyDescent="0.3">
      <c r="A431" s="2">
        <v>45160</v>
      </c>
      <c r="B431" s="11">
        <v>4387.55</v>
      </c>
      <c r="C431" s="11">
        <v>13505.87</v>
      </c>
      <c r="D431" s="11">
        <v>89.469499999999996</v>
      </c>
      <c r="E431" s="11">
        <v>2515.7399999999998</v>
      </c>
      <c r="F431" s="11">
        <v>893.33</v>
      </c>
      <c r="G431" s="11">
        <v>72.308300000000003</v>
      </c>
      <c r="H431" s="11">
        <v>83.390900000000002</v>
      </c>
      <c r="I431" s="11">
        <v>3.5</v>
      </c>
      <c r="J431" s="11">
        <v>3.55</v>
      </c>
      <c r="K431" s="11">
        <v>5.3</v>
      </c>
      <c r="L431" s="11">
        <v>3.54</v>
      </c>
    </row>
    <row r="432" spans="1:12" x14ac:dyDescent="0.3">
      <c r="A432" s="2">
        <v>45161</v>
      </c>
      <c r="B432" s="11">
        <v>4436.01</v>
      </c>
      <c r="C432" s="11">
        <v>13721.03</v>
      </c>
      <c r="D432" s="11">
        <v>90.525899999999993</v>
      </c>
      <c r="E432" s="11">
        <v>2505.5</v>
      </c>
      <c r="F432" s="11">
        <v>882.87</v>
      </c>
      <c r="G432" s="11">
        <v>72.442400000000006</v>
      </c>
      <c r="H432" s="11">
        <v>84.296000000000006</v>
      </c>
      <c r="I432" s="11">
        <v>3.5</v>
      </c>
      <c r="J432" s="11">
        <v>3.577</v>
      </c>
      <c r="K432" s="11">
        <v>5.3</v>
      </c>
      <c r="L432" s="11">
        <v>3.56</v>
      </c>
    </row>
    <row r="433" spans="1:12" x14ac:dyDescent="0.3">
      <c r="A433" s="2">
        <v>45162</v>
      </c>
      <c r="B433" s="11">
        <v>4376.3100000000004</v>
      </c>
      <c r="C433" s="11">
        <v>13463.97</v>
      </c>
      <c r="D433" s="11">
        <v>89.374300000000005</v>
      </c>
      <c r="E433" s="11">
        <v>2537.6799999999998</v>
      </c>
      <c r="F433" s="11">
        <v>901.74</v>
      </c>
      <c r="G433" s="11">
        <v>72.3977</v>
      </c>
      <c r="H433" s="11">
        <v>83.982299999999995</v>
      </c>
      <c r="I433" s="11">
        <v>3.5</v>
      </c>
      <c r="J433" s="11">
        <v>3.593</v>
      </c>
      <c r="K433" s="11">
        <v>5.3</v>
      </c>
      <c r="L433" s="11">
        <v>3.5720000000000001</v>
      </c>
    </row>
    <row r="434" spans="1:12" x14ac:dyDescent="0.3">
      <c r="A434" s="2">
        <v>45163</v>
      </c>
      <c r="B434" s="11">
        <v>4405.71</v>
      </c>
      <c r="C434" s="11">
        <v>13590.65</v>
      </c>
      <c r="D434" s="11">
        <v>89.916799999999995</v>
      </c>
      <c r="E434" s="11">
        <v>2519.14</v>
      </c>
      <c r="F434" s="11">
        <v>899.38</v>
      </c>
      <c r="G434" s="11">
        <v>72.352999999999994</v>
      </c>
      <c r="H434" s="11">
        <v>83.955500000000001</v>
      </c>
      <c r="I434" s="11">
        <v>3.5</v>
      </c>
      <c r="J434" s="11">
        <v>3.593</v>
      </c>
      <c r="K434" s="11">
        <v>5.3</v>
      </c>
      <c r="L434" s="11">
        <v>3.5649999999999999</v>
      </c>
    </row>
    <row r="435" spans="1:12" x14ac:dyDescent="0.3">
      <c r="A435" s="2">
        <v>45166</v>
      </c>
      <c r="B435" s="11">
        <v>4433.3100000000004</v>
      </c>
      <c r="C435" s="11">
        <v>13705.13</v>
      </c>
      <c r="D435" s="11">
        <v>90.611500000000007</v>
      </c>
      <c r="E435" s="11">
        <v>2543.41</v>
      </c>
      <c r="F435" s="11">
        <v>909.38</v>
      </c>
      <c r="G435" s="11">
        <v>72.3977</v>
      </c>
      <c r="H435" s="11">
        <v>84.188400000000001</v>
      </c>
      <c r="I435" s="11">
        <v>3.5</v>
      </c>
      <c r="J435" s="11">
        <v>3.5920000000000001</v>
      </c>
      <c r="K435" s="11">
        <v>5.3</v>
      </c>
      <c r="L435" s="11">
        <v>3.5630000000000002</v>
      </c>
    </row>
    <row r="436" spans="1:12" x14ac:dyDescent="0.3">
      <c r="A436" s="2">
        <v>45167</v>
      </c>
      <c r="B436" s="11">
        <v>4497.63</v>
      </c>
      <c r="C436" s="11">
        <v>13943.76</v>
      </c>
      <c r="D436" s="11">
        <v>91.896299999999997</v>
      </c>
      <c r="E436" s="11">
        <v>2552.16</v>
      </c>
      <c r="F436" s="11">
        <v>916.24</v>
      </c>
      <c r="G436" s="11">
        <v>72.558599999999998</v>
      </c>
      <c r="H436" s="11">
        <v>84.788799999999995</v>
      </c>
      <c r="I436" s="11">
        <v>3.5</v>
      </c>
      <c r="J436" s="11">
        <v>3.5910000000000002</v>
      </c>
      <c r="K436" s="11">
        <v>5.3</v>
      </c>
      <c r="L436" s="11">
        <v>3.5640000000000001</v>
      </c>
    </row>
    <row r="437" spans="1:12" x14ac:dyDescent="0.3">
      <c r="A437" s="2">
        <v>45168</v>
      </c>
      <c r="B437" s="11">
        <v>4514.87</v>
      </c>
      <c r="C437" s="11">
        <v>14019.31</v>
      </c>
      <c r="D437" s="11">
        <v>92.124700000000004</v>
      </c>
      <c r="E437" s="11">
        <v>2561.2199999999998</v>
      </c>
      <c r="F437" s="11">
        <v>923.81</v>
      </c>
      <c r="G437" s="11">
        <v>72.558599999999998</v>
      </c>
      <c r="H437" s="11">
        <v>84.779899999999998</v>
      </c>
      <c r="I437" s="11">
        <v>3.5</v>
      </c>
      <c r="J437" s="11">
        <v>3.5939999999999999</v>
      </c>
      <c r="K437" s="11">
        <v>5.3</v>
      </c>
      <c r="L437" s="11">
        <v>3.577</v>
      </c>
    </row>
    <row r="438" spans="1:12" x14ac:dyDescent="0.3">
      <c r="A438" s="2">
        <v>45169</v>
      </c>
      <c r="B438" s="11">
        <v>4507.66</v>
      </c>
      <c r="C438" s="11">
        <v>14034.97</v>
      </c>
      <c r="D438" s="11">
        <v>91.839200000000005</v>
      </c>
      <c r="E438" s="11">
        <v>2556.27</v>
      </c>
      <c r="F438" s="11">
        <v>928.4</v>
      </c>
      <c r="G438" s="11">
        <v>72.630099999999999</v>
      </c>
      <c r="H438" s="11">
        <v>84.950100000000006</v>
      </c>
      <c r="I438" s="11">
        <v>3.5</v>
      </c>
      <c r="J438" s="11">
        <v>3.617</v>
      </c>
      <c r="K438" s="11">
        <v>5.31</v>
      </c>
      <c r="L438" s="11">
        <v>3.62</v>
      </c>
    </row>
    <row r="439" spans="1:12" x14ac:dyDescent="0.3">
      <c r="A439" s="2">
        <v>45170</v>
      </c>
      <c r="B439" s="11">
        <v>4515.7700000000004</v>
      </c>
      <c r="C439" s="11">
        <v>14031.81</v>
      </c>
      <c r="D439" s="11">
        <v>92.096199999999996</v>
      </c>
      <c r="E439" s="11">
        <v>2563.71</v>
      </c>
      <c r="F439" s="11">
        <v>919.74</v>
      </c>
      <c r="G439" s="11">
        <v>72.590500000000006</v>
      </c>
      <c r="H439" s="11">
        <v>84.430599999999998</v>
      </c>
      <c r="I439" s="11">
        <v>3.5</v>
      </c>
      <c r="J439" s="11">
        <v>3.6110000000000002</v>
      </c>
      <c r="K439" s="11">
        <v>5.31</v>
      </c>
      <c r="L439" s="11">
        <v>3.5670000000000002</v>
      </c>
    </row>
    <row r="440" spans="1:12" x14ac:dyDescent="0.3">
      <c r="A440" s="2">
        <v>45173</v>
      </c>
      <c r="B440" s="11">
        <v>4515.7700000000004</v>
      </c>
      <c r="C440" s="11">
        <v>14031.81</v>
      </c>
      <c r="D440" s="11">
        <v>92.096199999999996</v>
      </c>
      <c r="E440" s="11">
        <v>2584.5500000000002</v>
      </c>
      <c r="F440" s="11">
        <v>919.16</v>
      </c>
      <c r="G440" s="11">
        <v>72.590500000000006</v>
      </c>
      <c r="H440" s="11">
        <v>84.430599999999998</v>
      </c>
      <c r="I440" s="11">
        <v>3.5</v>
      </c>
      <c r="J440" s="11">
        <v>3.544</v>
      </c>
      <c r="K440" s="11">
        <v>5.31</v>
      </c>
      <c r="L440" s="11">
        <v>3.5449999999999999</v>
      </c>
    </row>
    <row r="441" spans="1:12" x14ac:dyDescent="0.3">
      <c r="A441" s="2">
        <v>45174</v>
      </c>
      <c r="B441" s="11">
        <v>4496.83</v>
      </c>
      <c r="C441" s="11">
        <v>14020.95</v>
      </c>
      <c r="D441" s="11">
        <v>91.563199999999995</v>
      </c>
      <c r="E441" s="11">
        <v>2582.1799999999998</v>
      </c>
      <c r="F441" s="11">
        <v>921.48</v>
      </c>
      <c r="G441" s="11">
        <v>72.500900000000001</v>
      </c>
      <c r="H441" s="11">
        <v>83.918499999999995</v>
      </c>
      <c r="I441" s="11">
        <v>3.5</v>
      </c>
      <c r="J441" s="11">
        <v>3.5339999999999998</v>
      </c>
      <c r="K441" s="11">
        <v>5.31</v>
      </c>
      <c r="L441" s="11">
        <v>3.51</v>
      </c>
    </row>
    <row r="442" spans="1:12" x14ac:dyDescent="0.3">
      <c r="A442" s="2">
        <v>45175</v>
      </c>
      <c r="B442" s="11">
        <v>4465.4799999999996</v>
      </c>
      <c r="C442" s="11">
        <v>13872.47</v>
      </c>
      <c r="D442" s="11">
        <v>91.030299999999997</v>
      </c>
      <c r="E442" s="11">
        <v>2563.34</v>
      </c>
      <c r="F442" s="11">
        <v>917.95</v>
      </c>
      <c r="G442" s="11">
        <v>72.420199999999994</v>
      </c>
      <c r="H442" s="11">
        <v>83.7029</v>
      </c>
      <c r="I442" s="11">
        <v>3.5</v>
      </c>
      <c r="J442" s="11">
        <v>3.5339999999999998</v>
      </c>
      <c r="K442" s="11">
        <v>5.3</v>
      </c>
      <c r="L442" s="11">
        <v>3.496</v>
      </c>
    </row>
    <row r="443" spans="1:12" x14ac:dyDescent="0.3">
      <c r="A443" s="2">
        <v>45176</v>
      </c>
      <c r="B443" s="11">
        <v>4451.1400000000003</v>
      </c>
      <c r="C443" s="11">
        <v>13748.83</v>
      </c>
      <c r="D443" s="11">
        <v>90.687700000000007</v>
      </c>
      <c r="E443" s="11">
        <v>2548.2600000000002</v>
      </c>
      <c r="F443" s="11">
        <v>906.36</v>
      </c>
      <c r="G443" s="11">
        <v>72.554599999999994</v>
      </c>
      <c r="H443" s="11">
        <v>83.990399999999994</v>
      </c>
      <c r="I443" s="11">
        <v>3.5</v>
      </c>
      <c r="J443" s="11">
        <v>3.5259999999999998</v>
      </c>
      <c r="K443" s="11">
        <v>5.31</v>
      </c>
      <c r="L443" s="11">
        <v>3.54</v>
      </c>
    </row>
    <row r="444" spans="1:12" x14ac:dyDescent="0.3">
      <c r="A444" s="2">
        <v>45177</v>
      </c>
      <c r="B444" s="11">
        <v>4457.49</v>
      </c>
      <c r="C444" s="11">
        <v>13761.53</v>
      </c>
      <c r="D444" s="11">
        <v>90.725700000000003</v>
      </c>
      <c r="E444" s="11">
        <v>2547.6799999999998</v>
      </c>
      <c r="F444" s="11">
        <v>914.18</v>
      </c>
      <c r="G444" s="11">
        <v>72.518799999999999</v>
      </c>
      <c r="H444" s="11">
        <v>84.008399999999995</v>
      </c>
      <c r="I444" s="11">
        <v>3.5</v>
      </c>
      <c r="J444" s="11">
        <v>3.625</v>
      </c>
      <c r="K444" s="11">
        <v>5.3</v>
      </c>
      <c r="L444" s="11">
        <v>3.593</v>
      </c>
    </row>
    <row r="445" spans="1:12" x14ac:dyDescent="0.3">
      <c r="A445" s="2">
        <v>45180</v>
      </c>
      <c r="B445" s="11">
        <v>4487.46</v>
      </c>
      <c r="C445" s="11">
        <v>13917.91</v>
      </c>
      <c r="D445" s="11">
        <v>91.506100000000004</v>
      </c>
      <c r="E445" s="11">
        <v>2556.88</v>
      </c>
      <c r="F445" s="11">
        <v>912.55</v>
      </c>
      <c r="G445" s="11">
        <v>72.536699999999996</v>
      </c>
      <c r="H445" s="11">
        <v>83.864599999999996</v>
      </c>
      <c r="I445" s="11">
        <v>3.5</v>
      </c>
      <c r="J445" s="11">
        <v>3.6240000000000001</v>
      </c>
      <c r="K445" s="11">
        <v>5.3</v>
      </c>
      <c r="L445" s="11">
        <v>3.6019999999999999</v>
      </c>
    </row>
    <row r="446" spans="1:12" x14ac:dyDescent="0.3">
      <c r="A446" s="2">
        <v>45181</v>
      </c>
      <c r="B446" s="11">
        <v>4461.8999999999996</v>
      </c>
      <c r="C446" s="11">
        <v>13773.63</v>
      </c>
      <c r="D446" s="11">
        <v>91.068399999999997</v>
      </c>
      <c r="E446" s="11">
        <v>2536.58</v>
      </c>
      <c r="F446" s="11">
        <v>898.04</v>
      </c>
      <c r="G446" s="11">
        <v>72.500900000000001</v>
      </c>
      <c r="H446" s="11">
        <v>83.981399999999994</v>
      </c>
      <c r="I446" s="11">
        <v>3.5</v>
      </c>
      <c r="J446" s="11">
        <v>3.6309999999999998</v>
      </c>
      <c r="K446" s="11">
        <v>5.3</v>
      </c>
      <c r="L446" s="11">
        <v>3.597</v>
      </c>
    </row>
    <row r="447" spans="1:12" x14ac:dyDescent="0.3">
      <c r="A447" s="2">
        <v>45182</v>
      </c>
      <c r="B447" s="11">
        <v>4467.4399999999996</v>
      </c>
      <c r="C447" s="11">
        <v>13813.58</v>
      </c>
      <c r="D447" s="11">
        <v>91.096900000000005</v>
      </c>
      <c r="E447" s="11">
        <v>2534.6999999999998</v>
      </c>
      <c r="F447" s="11">
        <v>882.72</v>
      </c>
      <c r="G447" s="11">
        <v>72.563599999999994</v>
      </c>
      <c r="H447" s="11">
        <v>84.080299999999994</v>
      </c>
      <c r="I447" s="11">
        <v>3.5</v>
      </c>
      <c r="J447" s="11">
        <v>3.6240000000000001</v>
      </c>
      <c r="K447" s="11">
        <v>5.3</v>
      </c>
      <c r="L447" s="11">
        <v>3.5920000000000001</v>
      </c>
    </row>
    <row r="448" spans="1:12" x14ac:dyDescent="0.3">
      <c r="A448" s="2">
        <v>45183</v>
      </c>
      <c r="B448" s="11">
        <v>4505.1000000000004</v>
      </c>
      <c r="C448" s="11">
        <v>13926.05</v>
      </c>
      <c r="D448" s="11">
        <v>91.934399999999997</v>
      </c>
      <c r="E448" s="11">
        <v>2572.89</v>
      </c>
      <c r="F448" s="11">
        <v>899.47</v>
      </c>
      <c r="G448" s="11">
        <v>72.545699999999997</v>
      </c>
      <c r="H448" s="11">
        <v>83.891599999999997</v>
      </c>
      <c r="I448" s="11">
        <v>3.5</v>
      </c>
      <c r="J448" s="11">
        <v>3.62</v>
      </c>
      <c r="K448" s="11">
        <v>5.3</v>
      </c>
      <c r="L448" s="11">
        <v>3.5870000000000002</v>
      </c>
    </row>
    <row r="449" spans="1:12" x14ac:dyDescent="0.3">
      <c r="A449" s="2">
        <v>45184</v>
      </c>
      <c r="B449" s="11">
        <v>4450.32</v>
      </c>
      <c r="C449" s="11">
        <v>13708.33</v>
      </c>
      <c r="D449" s="11">
        <v>91.192099999999996</v>
      </c>
      <c r="E449" s="11">
        <v>2601.2800000000002</v>
      </c>
      <c r="F449" s="11">
        <v>899.03</v>
      </c>
      <c r="G449" s="11">
        <v>72.509799999999998</v>
      </c>
      <c r="H449" s="11">
        <v>83.631100000000004</v>
      </c>
      <c r="I449" s="11">
        <v>3.5</v>
      </c>
      <c r="J449" s="11">
        <v>3.621</v>
      </c>
      <c r="K449" s="11">
        <v>5.31</v>
      </c>
      <c r="L449" s="11">
        <v>3.58</v>
      </c>
    </row>
    <row r="450" spans="1:12" x14ac:dyDescent="0.3">
      <c r="A450" s="2">
        <v>45187</v>
      </c>
      <c r="B450" s="11">
        <v>4453.53</v>
      </c>
      <c r="C450" s="11">
        <v>13710.24</v>
      </c>
      <c r="D450" s="11">
        <v>91.096900000000005</v>
      </c>
      <c r="E450" s="11">
        <v>2574.7199999999998</v>
      </c>
      <c r="F450" s="11">
        <v>891.29</v>
      </c>
      <c r="G450" s="11">
        <v>72.500900000000001</v>
      </c>
      <c r="H450" s="11">
        <v>83.7119</v>
      </c>
      <c r="I450" s="11">
        <v>3.5</v>
      </c>
      <c r="J450" s="11">
        <v>3.601</v>
      </c>
      <c r="K450" s="11">
        <v>5.31</v>
      </c>
      <c r="L450" s="11">
        <v>3.5830000000000002</v>
      </c>
    </row>
    <row r="451" spans="1:12" x14ac:dyDescent="0.3">
      <c r="A451" s="2">
        <v>45188</v>
      </c>
      <c r="B451" s="11">
        <v>4443.95</v>
      </c>
      <c r="C451" s="11">
        <v>13678.19</v>
      </c>
      <c r="D451" s="11">
        <v>90.897099999999995</v>
      </c>
      <c r="E451" s="11">
        <v>2559.21</v>
      </c>
      <c r="F451" s="11">
        <v>883.89</v>
      </c>
      <c r="G451" s="11">
        <v>72.447100000000006</v>
      </c>
      <c r="H451" s="11">
        <v>83.406499999999994</v>
      </c>
      <c r="I451" s="11">
        <v>3.5</v>
      </c>
      <c r="J451" s="11">
        <v>3.6190000000000002</v>
      </c>
      <c r="K451" s="11">
        <v>5.31</v>
      </c>
      <c r="L451" s="11">
        <v>3.609</v>
      </c>
    </row>
    <row r="452" spans="1:12" x14ac:dyDescent="0.3">
      <c r="A452" s="2">
        <v>45189</v>
      </c>
      <c r="B452" s="11">
        <v>4402.2</v>
      </c>
      <c r="C452" s="11">
        <v>13469.13</v>
      </c>
      <c r="D452" s="11">
        <v>90.307000000000002</v>
      </c>
      <c r="E452" s="11">
        <v>2559.7399999999998</v>
      </c>
      <c r="F452" s="11">
        <v>882.72</v>
      </c>
      <c r="G452" s="11">
        <v>72.402299999999997</v>
      </c>
      <c r="H452" s="11">
        <v>83.343599999999995</v>
      </c>
      <c r="I452" s="11">
        <v>3.5</v>
      </c>
      <c r="J452" s="11">
        <v>3.6190000000000002</v>
      </c>
      <c r="K452" s="11">
        <v>5.3</v>
      </c>
      <c r="L452" s="11">
        <v>3.6190000000000002</v>
      </c>
    </row>
    <row r="453" spans="1:12" x14ac:dyDescent="0.3">
      <c r="A453" s="2">
        <v>45190</v>
      </c>
      <c r="B453" s="11">
        <v>4330</v>
      </c>
      <c r="C453" s="11">
        <v>13223.99</v>
      </c>
      <c r="D453" s="11">
        <v>88.812799999999996</v>
      </c>
      <c r="E453" s="11">
        <v>2514.9699999999998</v>
      </c>
      <c r="F453" s="11">
        <v>860.68</v>
      </c>
      <c r="G453" s="11">
        <v>72.438100000000006</v>
      </c>
      <c r="H453" s="11">
        <v>82.723699999999994</v>
      </c>
      <c r="I453" s="11">
        <v>3.5</v>
      </c>
      <c r="J453" s="11">
        <v>3.625</v>
      </c>
      <c r="K453" s="11">
        <v>5.3</v>
      </c>
      <c r="L453" s="11">
        <v>3.5939999999999999</v>
      </c>
    </row>
    <row r="454" spans="1:12" x14ac:dyDescent="0.3">
      <c r="A454" s="2">
        <v>45191</v>
      </c>
      <c r="B454" s="11">
        <v>4320.0600000000004</v>
      </c>
      <c r="C454" s="11">
        <v>13211.81</v>
      </c>
      <c r="D454" s="11">
        <v>88.755700000000004</v>
      </c>
      <c r="E454" s="11">
        <v>2508.13</v>
      </c>
      <c r="F454" s="11">
        <v>857.35</v>
      </c>
      <c r="G454" s="11">
        <v>72.509799999999998</v>
      </c>
      <c r="H454" s="11">
        <v>83.0471</v>
      </c>
      <c r="I454" s="11">
        <v>3.5</v>
      </c>
      <c r="J454" s="11">
        <v>3.6619999999999999</v>
      </c>
      <c r="K454" s="11">
        <v>5.3</v>
      </c>
      <c r="L454" s="11">
        <v>3.6179999999999999</v>
      </c>
    </row>
    <row r="455" spans="1:12" x14ac:dyDescent="0.3">
      <c r="A455" s="2">
        <v>45194</v>
      </c>
      <c r="B455" s="11">
        <v>4337.4399999999996</v>
      </c>
      <c r="C455" s="11">
        <v>13271.32</v>
      </c>
      <c r="D455" s="11">
        <v>88.869900000000001</v>
      </c>
      <c r="E455" s="11">
        <v>2495.7600000000002</v>
      </c>
      <c r="F455" s="11">
        <v>839.17</v>
      </c>
      <c r="G455" s="11">
        <v>72.482900000000001</v>
      </c>
      <c r="H455" s="11">
        <v>82.436199999999999</v>
      </c>
      <c r="I455" s="11">
        <v>3.5</v>
      </c>
      <c r="J455" s="11">
        <v>3.6219999999999999</v>
      </c>
      <c r="K455" s="11">
        <v>5.31</v>
      </c>
      <c r="L455" s="11">
        <v>3.63</v>
      </c>
    </row>
    <row r="456" spans="1:12" x14ac:dyDescent="0.3">
      <c r="A456" s="2">
        <v>45195</v>
      </c>
      <c r="B456" s="11">
        <v>4273.53</v>
      </c>
      <c r="C456" s="11">
        <v>13063.61</v>
      </c>
      <c r="D456" s="11">
        <v>87.575599999999994</v>
      </c>
      <c r="E456" s="11">
        <v>2462.9699999999998</v>
      </c>
      <c r="F456" s="11">
        <v>827.82</v>
      </c>
      <c r="G456" s="11">
        <v>72.491900000000001</v>
      </c>
      <c r="H456" s="11">
        <v>82.409300000000002</v>
      </c>
      <c r="I456" s="11">
        <v>3.5</v>
      </c>
      <c r="J456" s="11">
        <v>3.6720000000000002</v>
      </c>
      <c r="K456" s="11">
        <v>5.31</v>
      </c>
      <c r="L456" s="11">
        <v>3.62</v>
      </c>
    </row>
    <row r="457" spans="1:12" x14ac:dyDescent="0.3">
      <c r="A457" s="2">
        <v>45196</v>
      </c>
      <c r="B457" s="11">
        <v>4274.51</v>
      </c>
      <c r="C457" s="11">
        <v>13092.85</v>
      </c>
      <c r="D457" s="11">
        <v>87.613699999999994</v>
      </c>
      <c r="E457" s="11">
        <v>2465.0700000000002</v>
      </c>
      <c r="F457" s="11">
        <v>841.02</v>
      </c>
      <c r="G457" s="11">
        <v>72.438100000000006</v>
      </c>
      <c r="H457" s="11">
        <v>82.040899999999993</v>
      </c>
      <c r="I457" s="11">
        <v>3.5</v>
      </c>
      <c r="J457" s="11">
        <v>4.0190000000000001</v>
      </c>
      <c r="K457" s="11">
        <v>5.32</v>
      </c>
      <c r="L457" s="11">
        <v>3.8290000000000002</v>
      </c>
    </row>
    <row r="458" spans="1:12" x14ac:dyDescent="0.3">
      <c r="A458" s="2">
        <v>45197</v>
      </c>
      <c r="B458" s="11">
        <v>4299.7</v>
      </c>
      <c r="C458" s="11">
        <v>13201.28</v>
      </c>
      <c r="D458" s="11">
        <v>88.156199999999998</v>
      </c>
      <c r="E458" s="11">
        <v>2465.0700000000002</v>
      </c>
      <c r="F458" s="11">
        <v>841.02</v>
      </c>
      <c r="G458" s="11">
        <v>72.563599999999994</v>
      </c>
      <c r="H458" s="11">
        <v>82.265500000000003</v>
      </c>
      <c r="I458" s="11">
        <v>3.5</v>
      </c>
      <c r="J458" s="11">
        <v>4.0190000000000001</v>
      </c>
      <c r="K458" s="11">
        <v>5.31</v>
      </c>
      <c r="L458" s="11">
        <v>3.5</v>
      </c>
    </row>
    <row r="459" spans="1:12" x14ac:dyDescent="0.3">
      <c r="A459" s="2">
        <v>45198</v>
      </c>
      <c r="B459" s="11">
        <v>4288.05</v>
      </c>
      <c r="C459" s="11">
        <v>13219.32</v>
      </c>
      <c r="D459" s="11">
        <v>87.908699999999996</v>
      </c>
      <c r="E459" s="11">
        <v>2465.0700000000002</v>
      </c>
      <c r="F459" s="11">
        <v>841.02</v>
      </c>
      <c r="G459" s="11">
        <v>72.572599999999994</v>
      </c>
      <c r="H459" s="11">
        <v>82.283500000000004</v>
      </c>
      <c r="I459" s="11">
        <v>3.5</v>
      </c>
      <c r="J459" s="11">
        <v>4.0190000000000001</v>
      </c>
      <c r="K459" s="11">
        <v>5.31</v>
      </c>
      <c r="L459" s="11">
        <v>3.5</v>
      </c>
    </row>
    <row r="460" spans="1:12" x14ac:dyDescent="0.3">
      <c r="A460" s="2">
        <v>45201</v>
      </c>
      <c r="B460" s="11">
        <v>4288.3900000000003</v>
      </c>
      <c r="C460" s="11">
        <v>13307.77</v>
      </c>
      <c r="D460" s="11">
        <v>87.518500000000003</v>
      </c>
      <c r="E460" s="11">
        <v>2465.0700000000002</v>
      </c>
      <c r="F460" s="11">
        <v>841.02</v>
      </c>
      <c r="G460" s="11">
        <v>72.499799999999993</v>
      </c>
      <c r="H460" s="11">
        <v>81.616</v>
      </c>
      <c r="I460" s="11">
        <v>3.5</v>
      </c>
      <c r="J460" s="11">
        <v>4.0190000000000001</v>
      </c>
      <c r="K460" s="11">
        <v>5.32</v>
      </c>
      <c r="L460" s="11">
        <v>3.5</v>
      </c>
    </row>
    <row r="461" spans="1:12" x14ac:dyDescent="0.3">
      <c r="A461" s="2">
        <v>45202</v>
      </c>
      <c r="B461" s="11">
        <v>4229.45</v>
      </c>
      <c r="C461" s="11">
        <v>13059.47</v>
      </c>
      <c r="D461" s="11">
        <v>86.347899999999996</v>
      </c>
      <c r="E461" s="11">
        <v>2465.0700000000002</v>
      </c>
      <c r="F461" s="11">
        <v>841.02</v>
      </c>
      <c r="G461" s="11">
        <v>72.445899999999995</v>
      </c>
      <c r="H461" s="11">
        <v>80.940399999999997</v>
      </c>
      <c r="I461" s="11">
        <v>3.5</v>
      </c>
      <c r="J461" s="11">
        <v>4.0190000000000001</v>
      </c>
      <c r="K461" s="11">
        <v>5.33</v>
      </c>
      <c r="L461" s="11">
        <v>3.5</v>
      </c>
    </row>
    <row r="462" spans="1:12" x14ac:dyDescent="0.3">
      <c r="A462" s="2">
        <v>45203</v>
      </c>
      <c r="B462" s="11">
        <v>4263.75</v>
      </c>
      <c r="C462" s="11">
        <v>13236.01</v>
      </c>
      <c r="D462" s="11">
        <v>86.719099999999997</v>
      </c>
      <c r="E462" s="11">
        <v>2405.69</v>
      </c>
      <c r="F462" s="11">
        <v>807.4</v>
      </c>
      <c r="G462" s="11">
        <v>72.607699999999994</v>
      </c>
      <c r="H462" s="11">
        <v>81.453900000000004</v>
      </c>
      <c r="I462" s="11">
        <v>3.5</v>
      </c>
      <c r="J462" s="11">
        <v>3.62</v>
      </c>
      <c r="K462" s="11">
        <v>5.32</v>
      </c>
      <c r="L462" s="11">
        <v>3.5550000000000002</v>
      </c>
    </row>
    <row r="463" spans="1:12" x14ac:dyDescent="0.3">
      <c r="A463" s="2">
        <v>45204</v>
      </c>
      <c r="B463" s="11">
        <v>4258.1899999999996</v>
      </c>
      <c r="C463" s="11">
        <v>13219.83</v>
      </c>
      <c r="D463" s="11">
        <v>86.938000000000002</v>
      </c>
      <c r="E463" s="11">
        <v>2403.6</v>
      </c>
      <c r="F463" s="11">
        <v>801.02</v>
      </c>
      <c r="G463" s="11">
        <v>72.679599999999994</v>
      </c>
      <c r="H463" s="11">
        <v>81.606999999999999</v>
      </c>
      <c r="I463" s="11">
        <v>3.5</v>
      </c>
      <c r="J463" s="11">
        <v>3.5350000000000001</v>
      </c>
      <c r="K463" s="11">
        <v>5.32</v>
      </c>
      <c r="L463" s="11">
        <v>3.5270000000000001</v>
      </c>
    </row>
    <row r="464" spans="1:12" x14ac:dyDescent="0.3">
      <c r="A464" s="2">
        <v>45205</v>
      </c>
      <c r="B464" s="11">
        <v>4308.5</v>
      </c>
      <c r="C464" s="11">
        <v>13431.34</v>
      </c>
      <c r="D464" s="11">
        <v>88.013400000000004</v>
      </c>
      <c r="E464" s="11">
        <v>2408.73</v>
      </c>
      <c r="F464" s="11">
        <v>816.39</v>
      </c>
      <c r="G464" s="11">
        <v>72.616699999999994</v>
      </c>
      <c r="H464" s="11">
        <v>81.129599999999996</v>
      </c>
      <c r="I464" s="11">
        <v>3.5</v>
      </c>
      <c r="J464" s="11">
        <v>3.4710000000000001</v>
      </c>
      <c r="K464" s="11">
        <v>5.31</v>
      </c>
      <c r="L464" s="11">
        <v>3.5019999999999998</v>
      </c>
    </row>
    <row r="465" spans="1:12" x14ac:dyDescent="0.3">
      <c r="A465" s="2">
        <v>45208</v>
      </c>
      <c r="B465" s="11">
        <v>4335.66</v>
      </c>
      <c r="C465" s="11">
        <v>13484.24</v>
      </c>
      <c r="D465" s="11">
        <v>88.327500000000001</v>
      </c>
      <c r="E465" s="11">
        <v>2408.73</v>
      </c>
      <c r="F465" s="11">
        <v>816.39</v>
      </c>
      <c r="G465" s="11">
        <v>72.832300000000004</v>
      </c>
      <c r="H465" s="11">
        <v>82.165400000000005</v>
      </c>
      <c r="I465" s="11">
        <v>3.5</v>
      </c>
      <c r="J465" s="11">
        <v>3.4710000000000001</v>
      </c>
      <c r="K465" s="11">
        <v>5.31</v>
      </c>
      <c r="L465" s="11">
        <v>3.5</v>
      </c>
    </row>
    <row r="466" spans="1:12" x14ac:dyDescent="0.3">
      <c r="A466" s="2">
        <v>45209</v>
      </c>
      <c r="B466" s="11">
        <v>4358.24</v>
      </c>
      <c r="C466" s="11">
        <v>13562.84</v>
      </c>
      <c r="D466" s="11">
        <v>89.069800000000001</v>
      </c>
      <c r="E466" s="11">
        <v>2402.58</v>
      </c>
      <c r="F466" s="11">
        <v>795</v>
      </c>
      <c r="G466" s="11">
        <v>72.787400000000005</v>
      </c>
      <c r="H466" s="11">
        <v>82.003299999999996</v>
      </c>
      <c r="I466" s="11">
        <v>3.5</v>
      </c>
      <c r="J466" s="11">
        <v>3.4670000000000001</v>
      </c>
      <c r="K466" s="11">
        <v>5.31</v>
      </c>
      <c r="L466" s="11">
        <v>3.4710000000000001</v>
      </c>
    </row>
    <row r="467" spans="1:12" x14ac:dyDescent="0.3">
      <c r="A467" s="2">
        <v>45210</v>
      </c>
      <c r="B467" s="11">
        <v>4376.95</v>
      </c>
      <c r="C467" s="11">
        <v>13659.68</v>
      </c>
      <c r="D467" s="11">
        <v>89.478999999999999</v>
      </c>
      <c r="E467" s="11">
        <v>2450.08</v>
      </c>
      <c r="F467" s="11">
        <v>817.12</v>
      </c>
      <c r="G467" s="11">
        <v>72.769400000000005</v>
      </c>
      <c r="H467" s="11">
        <v>82.453699999999998</v>
      </c>
      <c r="I467" s="11">
        <v>3.5</v>
      </c>
      <c r="J467" s="11">
        <v>3.4670000000000001</v>
      </c>
      <c r="K467" s="11">
        <v>5.31</v>
      </c>
      <c r="L467" s="11">
        <v>3.4729999999999999</v>
      </c>
    </row>
    <row r="468" spans="1:12" x14ac:dyDescent="0.3">
      <c r="A468" s="2">
        <v>45211</v>
      </c>
      <c r="B468" s="11">
        <v>4349.6099999999997</v>
      </c>
      <c r="C468" s="11">
        <v>13574.22</v>
      </c>
      <c r="D468" s="11">
        <v>88.793800000000005</v>
      </c>
      <c r="E468" s="11">
        <v>2479.8200000000002</v>
      </c>
      <c r="F468" s="11">
        <v>835.49</v>
      </c>
      <c r="G468" s="11">
        <v>72.679599999999994</v>
      </c>
      <c r="H468" s="11">
        <v>81.661000000000001</v>
      </c>
      <c r="I468" s="11">
        <v>3.5</v>
      </c>
      <c r="J468" s="11">
        <v>3.46</v>
      </c>
      <c r="K468" s="11">
        <v>5.31</v>
      </c>
      <c r="L468" s="11">
        <v>3.512</v>
      </c>
    </row>
    <row r="469" spans="1:12" x14ac:dyDescent="0.3">
      <c r="A469" s="2">
        <v>45212</v>
      </c>
      <c r="B469" s="11">
        <v>4327.78</v>
      </c>
      <c r="C469" s="11">
        <v>13407.23</v>
      </c>
      <c r="D469" s="11">
        <v>88.289400000000001</v>
      </c>
      <c r="E469" s="11">
        <v>2456.15</v>
      </c>
      <c r="F469" s="11">
        <v>822.78</v>
      </c>
      <c r="G469" s="11">
        <v>72.724500000000006</v>
      </c>
      <c r="H469" s="11">
        <v>82.183499999999995</v>
      </c>
      <c r="I469" s="11">
        <v>3.5</v>
      </c>
      <c r="J469" s="11">
        <v>3.5510000000000002</v>
      </c>
      <c r="K469" s="11">
        <v>5.31</v>
      </c>
      <c r="L469" s="11">
        <v>3.5419999999999998</v>
      </c>
    </row>
    <row r="470" spans="1:12" x14ac:dyDescent="0.3">
      <c r="A470" s="2">
        <v>45215</v>
      </c>
      <c r="B470" s="11">
        <v>4373.63</v>
      </c>
      <c r="C470" s="11">
        <v>13567.98</v>
      </c>
      <c r="D470" s="11">
        <v>89.098299999999995</v>
      </c>
      <c r="E470" s="11">
        <v>2436.2399999999998</v>
      </c>
      <c r="F470" s="11">
        <v>810.54</v>
      </c>
      <c r="G470" s="11">
        <v>72.679599999999994</v>
      </c>
      <c r="H470" s="11">
        <v>81.697100000000006</v>
      </c>
      <c r="I470" s="11">
        <v>3.5</v>
      </c>
      <c r="J470" s="11">
        <v>3.5059999999999998</v>
      </c>
      <c r="K470" s="11">
        <v>5.31</v>
      </c>
      <c r="L470" s="11">
        <v>3.5179999999999998</v>
      </c>
    </row>
    <row r="471" spans="1:12" x14ac:dyDescent="0.3">
      <c r="A471" s="2">
        <v>45216</v>
      </c>
      <c r="B471" s="11">
        <v>4373.2</v>
      </c>
      <c r="C471" s="11">
        <v>13533.75</v>
      </c>
      <c r="D471" s="11">
        <v>89.136399999999995</v>
      </c>
      <c r="E471" s="11">
        <v>2460.17</v>
      </c>
      <c r="F471" s="11">
        <v>820.38</v>
      </c>
      <c r="G471" s="11">
        <v>72.517799999999994</v>
      </c>
      <c r="H471" s="11">
        <v>80.895399999999995</v>
      </c>
      <c r="I471" s="11">
        <v>3.5</v>
      </c>
      <c r="J471" s="11">
        <v>3.49</v>
      </c>
      <c r="K471" s="11">
        <v>5.31</v>
      </c>
      <c r="L471" s="11">
        <v>3.4929999999999999</v>
      </c>
    </row>
    <row r="472" spans="1:12" x14ac:dyDescent="0.3">
      <c r="A472" s="2">
        <v>45217</v>
      </c>
      <c r="B472" s="11">
        <v>4314.6000000000004</v>
      </c>
      <c r="C472" s="11">
        <v>13314.3</v>
      </c>
      <c r="D472" s="11">
        <v>87.861099999999993</v>
      </c>
      <c r="E472" s="11">
        <v>2462.6</v>
      </c>
      <c r="F472" s="11">
        <v>808.89</v>
      </c>
      <c r="G472" s="11">
        <v>72.517799999999994</v>
      </c>
      <c r="H472" s="11">
        <v>80.517099999999999</v>
      </c>
      <c r="I472" s="11">
        <v>3.5</v>
      </c>
      <c r="J472" s="11">
        <v>3.4630000000000001</v>
      </c>
      <c r="K472" s="11">
        <v>5.3</v>
      </c>
      <c r="L472" s="11">
        <v>3.492</v>
      </c>
    </row>
    <row r="473" spans="1:12" x14ac:dyDescent="0.3">
      <c r="A473" s="2">
        <v>45218</v>
      </c>
      <c r="B473" s="11">
        <v>4278</v>
      </c>
      <c r="C473" s="11">
        <v>13186.17</v>
      </c>
      <c r="D473" s="11">
        <v>87.071200000000005</v>
      </c>
      <c r="E473" s="11">
        <v>2415.8000000000002</v>
      </c>
      <c r="F473" s="11">
        <v>784.04</v>
      </c>
      <c r="G473" s="11">
        <v>72.616699999999994</v>
      </c>
      <c r="H473" s="11">
        <v>80.120800000000003</v>
      </c>
      <c r="I473" s="11">
        <v>3.5</v>
      </c>
      <c r="J473" s="11">
        <v>3.4660000000000002</v>
      </c>
      <c r="K473" s="11">
        <v>5.3</v>
      </c>
      <c r="L473" s="11">
        <v>3.5049999999999999</v>
      </c>
    </row>
    <row r="474" spans="1:12" x14ac:dyDescent="0.3">
      <c r="A474" s="2">
        <v>45219</v>
      </c>
      <c r="B474" s="11">
        <v>4224.16</v>
      </c>
      <c r="C474" s="11">
        <v>12983.81</v>
      </c>
      <c r="D474" s="11">
        <v>86.033900000000003</v>
      </c>
      <c r="E474" s="11">
        <v>2375</v>
      </c>
      <c r="F474" s="11">
        <v>769.25</v>
      </c>
      <c r="G474" s="11">
        <v>72.733500000000006</v>
      </c>
      <c r="H474" s="11">
        <v>80.584599999999995</v>
      </c>
      <c r="I474" s="11">
        <v>3.5</v>
      </c>
      <c r="J474" s="11">
        <v>3.492</v>
      </c>
      <c r="K474" s="11">
        <v>5.3</v>
      </c>
      <c r="L474" s="11">
        <v>3.5230000000000001</v>
      </c>
    </row>
    <row r="475" spans="1:12" x14ac:dyDescent="0.3">
      <c r="A475" s="2">
        <v>45222</v>
      </c>
      <c r="B475" s="11">
        <v>4217.04</v>
      </c>
      <c r="C475" s="11">
        <v>13018.33</v>
      </c>
      <c r="D475" s="11">
        <v>85.967200000000005</v>
      </c>
      <c r="E475" s="11">
        <v>2357.02</v>
      </c>
      <c r="F475" s="11">
        <v>763.69</v>
      </c>
      <c r="G475" s="11">
        <v>72.778400000000005</v>
      </c>
      <c r="H475" s="11">
        <v>80.967500000000001</v>
      </c>
      <c r="I475" s="11">
        <v>3.5</v>
      </c>
      <c r="J475" s="11">
        <v>3.5259999999999998</v>
      </c>
      <c r="K475" s="11">
        <v>5.3</v>
      </c>
      <c r="L475" s="11">
        <v>3.5379999999999998</v>
      </c>
    </row>
    <row r="476" spans="1:12" x14ac:dyDescent="0.3">
      <c r="A476" s="2">
        <v>45223</v>
      </c>
      <c r="B476" s="11">
        <v>4247.68</v>
      </c>
      <c r="C476" s="11">
        <v>13139.88</v>
      </c>
      <c r="D476" s="11">
        <v>86.595399999999998</v>
      </c>
      <c r="E476" s="11">
        <v>2383.5100000000002</v>
      </c>
      <c r="F476" s="11">
        <v>784.86</v>
      </c>
      <c r="G476" s="11">
        <v>72.760400000000004</v>
      </c>
      <c r="H476" s="11">
        <v>81.111599999999996</v>
      </c>
      <c r="I476" s="11">
        <v>3.5</v>
      </c>
      <c r="J476" s="11">
        <v>3.5249999999999999</v>
      </c>
      <c r="K476" s="11">
        <v>5.3</v>
      </c>
      <c r="L476" s="11">
        <v>3.5310000000000001</v>
      </c>
    </row>
    <row r="477" spans="1:12" x14ac:dyDescent="0.3">
      <c r="A477" s="2">
        <v>45224</v>
      </c>
      <c r="B477" s="11">
        <v>4186.7700000000004</v>
      </c>
      <c r="C477" s="11">
        <v>12821.22</v>
      </c>
      <c r="D477" s="11">
        <v>85.491399999999999</v>
      </c>
      <c r="E477" s="11">
        <v>2363.17</v>
      </c>
      <c r="F477" s="11">
        <v>770.84</v>
      </c>
      <c r="G477" s="11">
        <v>72.679599999999994</v>
      </c>
      <c r="H477" s="11">
        <v>80.400000000000006</v>
      </c>
      <c r="I477" s="11">
        <v>3.5</v>
      </c>
      <c r="J477" s="11">
        <v>3.569</v>
      </c>
      <c r="K477" s="11">
        <v>5.3</v>
      </c>
      <c r="L477" s="11">
        <v>3.5609999999999999</v>
      </c>
    </row>
    <row r="478" spans="1:12" x14ac:dyDescent="0.3">
      <c r="A478" s="2">
        <v>45225</v>
      </c>
      <c r="B478" s="11">
        <v>4137.2299999999996</v>
      </c>
      <c r="C478" s="11">
        <v>12595.61</v>
      </c>
      <c r="D478" s="11">
        <v>84.615799999999993</v>
      </c>
      <c r="E478" s="11">
        <v>2299.08</v>
      </c>
      <c r="F478" s="11">
        <v>743.85</v>
      </c>
      <c r="G478" s="11">
        <v>72.823300000000003</v>
      </c>
      <c r="H478" s="11">
        <v>81.012500000000003</v>
      </c>
      <c r="I478" s="11">
        <v>3.5</v>
      </c>
      <c r="J478" s="11">
        <v>3.57</v>
      </c>
      <c r="K478" s="11">
        <v>5.31</v>
      </c>
      <c r="L478" s="11">
        <v>3.556</v>
      </c>
    </row>
    <row r="479" spans="1:12" x14ac:dyDescent="0.3">
      <c r="A479" s="2">
        <v>45226</v>
      </c>
      <c r="B479" s="11">
        <v>4117.37</v>
      </c>
      <c r="C479" s="11">
        <v>12643.01</v>
      </c>
      <c r="D479" s="11">
        <v>84.311300000000003</v>
      </c>
      <c r="E479" s="11">
        <v>2302.81</v>
      </c>
      <c r="F479" s="11">
        <v>748.49</v>
      </c>
      <c r="G479" s="11">
        <v>72.868300000000005</v>
      </c>
      <c r="H479" s="11">
        <v>81.138599999999997</v>
      </c>
      <c r="I479" s="11">
        <v>3.5</v>
      </c>
      <c r="J479" s="11">
        <v>3.44</v>
      </c>
      <c r="K479" s="11">
        <v>5.31</v>
      </c>
      <c r="L479" s="11">
        <v>3.4940000000000002</v>
      </c>
    </row>
    <row r="480" spans="1:12" x14ac:dyDescent="0.3">
      <c r="A480" s="2">
        <v>45229</v>
      </c>
      <c r="B480" s="11">
        <v>4166.82</v>
      </c>
      <c r="C480" s="11">
        <v>12789.48</v>
      </c>
      <c r="D480" s="11">
        <v>85.291499999999999</v>
      </c>
      <c r="E480" s="11">
        <v>2310.5500000000002</v>
      </c>
      <c r="F480" s="11">
        <v>757.12</v>
      </c>
      <c r="G480" s="11">
        <v>72.841300000000004</v>
      </c>
      <c r="H480" s="11">
        <v>80.868399999999994</v>
      </c>
      <c r="I480" s="11">
        <v>3.5</v>
      </c>
      <c r="J480" s="11">
        <v>3.4430000000000001</v>
      </c>
      <c r="K480" s="11">
        <v>5.31</v>
      </c>
      <c r="L480" s="11">
        <v>3.5150000000000001</v>
      </c>
    </row>
    <row r="481" spans="1:12" x14ac:dyDescent="0.3">
      <c r="A481" s="2">
        <v>45230</v>
      </c>
      <c r="B481" s="11">
        <v>4193.8</v>
      </c>
      <c r="C481" s="11">
        <v>12851.24</v>
      </c>
      <c r="D481" s="11">
        <v>85.672200000000004</v>
      </c>
      <c r="E481" s="11">
        <v>2277.9899999999998</v>
      </c>
      <c r="F481" s="11">
        <v>736.1</v>
      </c>
      <c r="G481" s="11">
        <v>72.814300000000003</v>
      </c>
      <c r="H481" s="11">
        <v>80.697199999999995</v>
      </c>
      <c r="I481" s="11">
        <v>3.5</v>
      </c>
      <c r="J481" s="11">
        <v>3.544</v>
      </c>
      <c r="K481" s="11">
        <v>5.35</v>
      </c>
      <c r="L481" s="11">
        <v>3.5</v>
      </c>
    </row>
    <row r="482" spans="1:12" x14ac:dyDescent="0.3">
      <c r="A482" s="2">
        <v>45231</v>
      </c>
      <c r="B482" s="11">
        <v>4237.8599999999997</v>
      </c>
      <c r="C482" s="11">
        <v>13061.47</v>
      </c>
      <c r="D482" s="11">
        <v>86.528700000000001</v>
      </c>
      <c r="E482" s="11">
        <v>2301.56</v>
      </c>
      <c r="F482" s="11">
        <v>739.23</v>
      </c>
      <c r="G482" s="11">
        <v>72.976900000000001</v>
      </c>
      <c r="H482" s="11">
        <v>81.626499999999993</v>
      </c>
      <c r="I482" s="11">
        <v>3.5</v>
      </c>
      <c r="J482" s="11">
        <v>3.4820000000000002</v>
      </c>
      <c r="K482" s="11">
        <v>5.32</v>
      </c>
      <c r="L482" s="11">
        <v>3.516</v>
      </c>
    </row>
    <row r="483" spans="1:12" x14ac:dyDescent="0.3">
      <c r="A483" s="2">
        <v>45232</v>
      </c>
      <c r="B483" s="11">
        <v>4317.78</v>
      </c>
      <c r="C483" s="11">
        <v>13294.19</v>
      </c>
      <c r="D483" s="11">
        <v>88.241799999999998</v>
      </c>
      <c r="E483" s="11">
        <v>2343.12</v>
      </c>
      <c r="F483" s="11">
        <v>772.84</v>
      </c>
      <c r="G483" s="11">
        <v>72.985900000000001</v>
      </c>
      <c r="H483" s="11">
        <v>82.132300000000001</v>
      </c>
      <c r="I483" s="11">
        <v>3.5</v>
      </c>
      <c r="J483" s="11">
        <v>3.4369999999999998</v>
      </c>
      <c r="K483" s="11">
        <v>5.33</v>
      </c>
      <c r="L483" s="11">
        <v>3.49</v>
      </c>
    </row>
    <row r="484" spans="1:12" x14ac:dyDescent="0.3">
      <c r="A484" s="2">
        <v>45233</v>
      </c>
      <c r="B484" s="11">
        <v>4358.34</v>
      </c>
      <c r="C484" s="11">
        <v>13478.28</v>
      </c>
      <c r="D484" s="11">
        <v>89.260099999999994</v>
      </c>
      <c r="E484" s="11">
        <v>2368.34</v>
      </c>
      <c r="F484" s="11">
        <v>782.05</v>
      </c>
      <c r="G484" s="11">
        <v>73.184200000000004</v>
      </c>
      <c r="H484" s="11">
        <v>82.764600000000002</v>
      </c>
      <c r="I484" s="11">
        <v>3.5</v>
      </c>
      <c r="J484" s="11">
        <v>3.4369999999999998</v>
      </c>
      <c r="K484" s="11">
        <v>5.32</v>
      </c>
      <c r="L484" s="11">
        <v>3.52</v>
      </c>
    </row>
    <row r="485" spans="1:12" x14ac:dyDescent="0.3">
      <c r="A485" s="2">
        <v>45236</v>
      </c>
      <c r="B485" s="11">
        <v>4365.9799999999996</v>
      </c>
      <c r="C485" s="11">
        <v>13518.78</v>
      </c>
      <c r="D485" s="11">
        <v>89.336299999999994</v>
      </c>
      <c r="E485" s="11">
        <v>2502.37</v>
      </c>
      <c r="F485" s="11">
        <v>839.45</v>
      </c>
      <c r="G485" s="11">
        <v>73.049000000000007</v>
      </c>
      <c r="H485" s="11">
        <v>82.285899999999998</v>
      </c>
      <c r="I485" s="11">
        <v>3.5</v>
      </c>
      <c r="J485" s="11">
        <v>3.464</v>
      </c>
      <c r="K485" s="11">
        <v>5.32</v>
      </c>
      <c r="L485" s="11">
        <v>3.5259999999999998</v>
      </c>
    </row>
    <row r="486" spans="1:12" x14ac:dyDescent="0.3">
      <c r="A486" s="2">
        <v>45237</v>
      </c>
      <c r="B486" s="11">
        <v>4378.38</v>
      </c>
      <c r="C486" s="11">
        <v>13639.86</v>
      </c>
      <c r="D486" s="11">
        <v>89.288700000000006</v>
      </c>
      <c r="E486" s="11">
        <v>2443.96</v>
      </c>
      <c r="F486" s="11">
        <v>824.37</v>
      </c>
      <c r="G486" s="11">
        <v>73.103099999999998</v>
      </c>
      <c r="H486" s="11">
        <v>82.755499999999998</v>
      </c>
      <c r="I486" s="11">
        <v>3.5</v>
      </c>
      <c r="J486" s="11">
        <v>3.52</v>
      </c>
      <c r="K486" s="11">
        <v>5.32</v>
      </c>
      <c r="L486" s="11">
        <v>3.4630000000000001</v>
      </c>
    </row>
    <row r="487" spans="1:12" x14ac:dyDescent="0.3">
      <c r="A487" s="2">
        <v>45238</v>
      </c>
      <c r="B487" s="11">
        <v>4382.78</v>
      </c>
      <c r="C487" s="11">
        <v>13650.41</v>
      </c>
      <c r="D487" s="11">
        <v>89.269599999999997</v>
      </c>
      <c r="E487" s="11">
        <v>2421.62</v>
      </c>
      <c r="F487" s="11">
        <v>811.02</v>
      </c>
      <c r="G487" s="11">
        <v>73.084999999999994</v>
      </c>
      <c r="H487" s="11">
        <v>83.089799999999997</v>
      </c>
      <c r="I487" s="11">
        <v>3.5</v>
      </c>
      <c r="J487" s="11">
        <v>3.52</v>
      </c>
      <c r="K487" s="11">
        <v>5.32</v>
      </c>
      <c r="L487" s="11">
        <v>3.484</v>
      </c>
    </row>
    <row r="488" spans="1:12" x14ac:dyDescent="0.3">
      <c r="A488" s="2">
        <v>45239</v>
      </c>
      <c r="B488" s="11">
        <v>4347.3500000000004</v>
      </c>
      <c r="C488" s="11">
        <v>13521.45</v>
      </c>
      <c r="D488" s="11">
        <v>88.736699999999999</v>
      </c>
      <c r="E488" s="11">
        <v>2427.08</v>
      </c>
      <c r="F488" s="11">
        <v>802.87</v>
      </c>
      <c r="G488" s="11">
        <v>72.976900000000001</v>
      </c>
      <c r="H488" s="11">
        <v>82.267799999999994</v>
      </c>
      <c r="I488" s="11">
        <v>3.5</v>
      </c>
      <c r="J488" s="11">
        <v>3.569</v>
      </c>
      <c r="K488" s="11">
        <v>5.32</v>
      </c>
      <c r="L488" s="11">
        <v>3.5630000000000002</v>
      </c>
    </row>
    <row r="489" spans="1:12" x14ac:dyDescent="0.3">
      <c r="A489" s="2">
        <v>45240</v>
      </c>
      <c r="B489" s="11">
        <v>4415.24</v>
      </c>
      <c r="C489" s="11">
        <v>13798.11</v>
      </c>
      <c r="D489" s="11">
        <v>89.754999999999995</v>
      </c>
      <c r="E489" s="11">
        <v>2409.66</v>
      </c>
      <c r="F489" s="11">
        <v>789.31</v>
      </c>
      <c r="G489" s="11">
        <v>72.994900000000001</v>
      </c>
      <c r="H489" s="11">
        <v>82.358099999999993</v>
      </c>
      <c r="I489" s="11">
        <v>3.5</v>
      </c>
      <c r="J489" s="11">
        <v>3.5960000000000001</v>
      </c>
      <c r="K489" s="11">
        <v>5.32</v>
      </c>
      <c r="L489" s="11">
        <v>3.593</v>
      </c>
    </row>
    <row r="490" spans="1:12" x14ac:dyDescent="0.3">
      <c r="A490" s="2">
        <v>45243</v>
      </c>
      <c r="B490" s="11">
        <v>4411.55</v>
      </c>
      <c r="C490" s="11">
        <v>13767.74</v>
      </c>
      <c r="D490" s="11">
        <v>89.774000000000001</v>
      </c>
      <c r="E490" s="11">
        <v>2403.7600000000002</v>
      </c>
      <c r="F490" s="11">
        <v>774.42</v>
      </c>
      <c r="G490" s="11">
        <v>73.021900000000002</v>
      </c>
      <c r="H490" s="11">
        <v>82.313000000000002</v>
      </c>
      <c r="I490" s="11">
        <v>3.5</v>
      </c>
      <c r="J490" s="11">
        <v>3.613</v>
      </c>
      <c r="K490" s="11">
        <v>5.32</v>
      </c>
      <c r="L490" s="11">
        <v>3.5750000000000002</v>
      </c>
    </row>
    <row r="491" spans="1:12" x14ac:dyDescent="0.3">
      <c r="A491" s="2">
        <v>45244</v>
      </c>
      <c r="B491" s="11">
        <v>4495.7</v>
      </c>
      <c r="C491" s="11">
        <v>14094.38</v>
      </c>
      <c r="D491" s="11">
        <v>91.7346</v>
      </c>
      <c r="E491" s="11">
        <v>2433.25</v>
      </c>
      <c r="F491" s="11">
        <v>794.19</v>
      </c>
      <c r="G491" s="11">
        <v>73.310299999999998</v>
      </c>
      <c r="H491" s="11">
        <v>83.550399999999996</v>
      </c>
      <c r="I491" s="11">
        <v>3.5</v>
      </c>
      <c r="J491" s="11">
        <v>3.6110000000000002</v>
      </c>
      <c r="K491" s="11">
        <v>5.32</v>
      </c>
      <c r="L491" s="11">
        <v>3.5790000000000002</v>
      </c>
    </row>
    <row r="492" spans="1:12" x14ac:dyDescent="0.3">
      <c r="A492" s="2">
        <v>45245</v>
      </c>
      <c r="B492" s="11">
        <v>4502.88</v>
      </c>
      <c r="C492" s="11">
        <v>14103.84</v>
      </c>
      <c r="D492" s="11">
        <v>91.924899999999994</v>
      </c>
      <c r="E492" s="11">
        <v>2486.67</v>
      </c>
      <c r="F492" s="11">
        <v>809.36</v>
      </c>
      <c r="G492" s="11">
        <v>73.1751</v>
      </c>
      <c r="H492" s="11">
        <v>82.900099999999995</v>
      </c>
      <c r="I492" s="11">
        <v>3.5</v>
      </c>
      <c r="J492" s="11">
        <v>3.569</v>
      </c>
      <c r="K492" s="11">
        <v>5.32</v>
      </c>
      <c r="L492" s="11">
        <v>3.57</v>
      </c>
    </row>
    <row r="493" spans="1:12" x14ac:dyDescent="0.3">
      <c r="A493" s="2">
        <v>45246</v>
      </c>
      <c r="B493" s="11">
        <v>4508.24</v>
      </c>
      <c r="C493" s="11">
        <v>14113.67</v>
      </c>
      <c r="D493" s="11">
        <v>91.8583</v>
      </c>
      <c r="E493" s="11">
        <v>2488.1799999999998</v>
      </c>
      <c r="F493" s="11">
        <v>811.11</v>
      </c>
      <c r="G493" s="11">
        <v>73.301299999999998</v>
      </c>
      <c r="H493" s="11">
        <v>83.523300000000006</v>
      </c>
      <c r="I493" s="11">
        <v>3.5</v>
      </c>
      <c r="J493" s="11">
        <v>3.617</v>
      </c>
      <c r="K493" s="11">
        <v>5.32</v>
      </c>
      <c r="L493" s="11">
        <v>3.585</v>
      </c>
    </row>
    <row r="494" spans="1:12" x14ac:dyDescent="0.3">
      <c r="A494" s="2">
        <v>45247</v>
      </c>
      <c r="B494" s="11">
        <v>4514.0200000000004</v>
      </c>
      <c r="C494" s="11">
        <v>14125.48</v>
      </c>
      <c r="D494" s="11">
        <v>92.267499999999998</v>
      </c>
      <c r="E494" s="11">
        <v>2469.85</v>
      </c>
      <c r="F494" s="11">
        <v>799.06</v>
      </c>
      <c r="G494" s="11">
        <v>73.247200000000007</v>
      </c>
      <c r="H494" s="11">
        <v>83.577500000000001</v>
      </c>
      <c r="I494" s="11">
        <v>3.5</v>
      </c>
      <c r="J494" s="11">
        <v>3.6389999999999998</v>
      </c>
      <c r="K494" s="11">
        <v>5.32</v>
      </c>
      <c r="L494" s="11">
        <v>3.601</v>
      </c>
    </row>
    <row r="495" spans="1:12" x14ac:dyDescent="0.3">
      <c r="A495" s="2">
        <v>45250</v>
      </c>
      <c r="B495" s="11">
        <v>4547.38</v>
      </c>
      <c r="C495" s="11">
        <v>14284.53</v>
      </c>
      <c r="D495" s="11">
        <v>92.914699999999996</v>
      </c>
      <c r="E495" s="11">
        <v>2491.1999999999998</v>
      </c>
      <c r="F495" s="11">
        <v>813.08</v>
      </c>
      <c r="G495" s="11">
        <v>73.256299999999996</v>
      </c>
      <c r="H495" s="11">
        <v>83.694900000000004</v>
      </c>
      <c r="I495" s="11">
        <v>3.5</v>
      </c>
      <c r="J495" s="11">
        <v>3.6120000000000001</v>
      </c>
      <c r="K495" s="11">
        <v>5.31</v>
      </c>
      <c r="L495" s="11">
        <v>3.597</v>
      </c>
    </row>
    <row r="496" spans="1:12" x14ac:dyDescent="0.3">
      <c r="A496" s="2">
        <v>45251</v>
      </c>
      <c r="B496" s="11">
        <v>4538.1899999999996</v>
      </c>
      <c r="C496" s="11">
        <v>14199.98</v>
      </c>
      <c r="D496" s="11">
        <v>92.667199999999994</v>
      </c>
      <c r="E496" s="11">
        <v>2510.42</v>
      </c>
      <c r="F496" s="11">
        <v>817.01</v>
      </c>
      <c r="G496" s="11">
        <v>73.301299999999998</v>
      </c>
      <c r="H496" s="11">
        <v>83.803299999999993</v>
      </c>
      <c r="I496" s="11">
        <v>3.5</v>
      </c>
      <c r="J496" s="11">
        <v>3.613</v>
      </c>
      <c r="K496" s="11">
        <v>5.31</v>
      </c>
      <c r="L496" s="11">
        <v>3.585</v>
      </c>
    </row>
    <row r="497" spans="1:12" x14ac:dyDescent="0.3">
      <c r="A497" s="2">
        <v>45252</v>
      </c>
      <c r="B497" s="11">
        <v>4556.62</v>
      </c>
      <c r="C497" s="11">
        <v>14265.86</v>
      </c>
      <c r="D497" s="11">
        <v>92.924199999999999</v>
      </c>
      <c r="E497" s="11">
        <v>2511.6999999999998</v>
      </c>
      <c r="F497" s="11">
        <v>814.61</v>
      </c>
      <c r="G497" s="11">
        <v>73.310299999999998</v>
      </c>
      <c r="H497" s="11">
        <v>83.776200000000003</v>
      </c>
      <c r="I497" s="11">
        <v>3.5</v>
      </c>
      <c r="J497" s="11">
        <v>3.6389999999999998</v>
      </c>
      <c r="K497" s="11">
        <v>5.31</v>
      </c>
      <c r="L497" s="11">
        <v>3.62</v>
      </c>
    </row>
    <row r="498" spans="1:12" x14ac:dyDescent="0.3">
      <c r="A498" s="2">
        <v>45253</v>
      </c>
      <c r="B498" s="11">
        <v>4556.62</v>
      </c>
      <c r="C498" s="11">
        <v>14265.86</v>
      </c>
      <c r="D498" s="11">
        <v>92.924199999999999</v>
      </c>
      <c r="E498" s="11">
        <v>2514.96</v>
      </c>
      <c r="F498" s="11">
        <v>815.98</v>
      </c>
      <c r="G498" s="11">
        <v>73.310299999999998</v>
      </c>
      <c r="H498" s="11">
        <v>83.776200000000003</v>
      </c>
      <c r="I498" s="11">
        <v>3.5</v>
      </c>
      <c r="J498" s="11">
        <v>3.6379999999999999</v>
      </c>
      <c r="K498" s="11">
        <v>5.31</v>
      </c>
      <c r="L498" s="11">
        <v>3.5979999999999999</v>
      </c>
    </row>
    <row r="499" spans="1:12" x14ac:dyDescent="0.3">
      <c r="A499" s="2">
        <v>45254</v>
      </c>
      <c r="B499" s="11">
        <v>4559.34</v>
      </c>
      <c r="C499" s="11">
        <v>14250.85</v>
      </c>
      <c r="D499" s="11">
        <v>93.152600000000007</v>
      </c>
      <c r="E499" s="11">
        <v>2496.63</v>
      </c>
      <c r="F499" s="11">
        <v>815</v>
      </c>
      <c r="G499" s="11">
        <v>73.256299999999996</v>
      </c>
      <c r="H499" s="11">
        <v>83.342699999999994</v>
      </c>
      <c r="I499" s="11">
        <v>3.5</v>
      </c>
      <c r="J499" s="11">
        <v>3.637</v>
      </c>
      <c r="K499" s="11">
        <v>5.32</v>
      </c>
      <c r="L499" s="11">
        <v>3.6059999999999999</v>
      </c>
    </row>
    <row r="500" spans="1:12" x14ac:dyDescent="0.3">
      <c r="A500" s="2">
        <v>45257</v>
      </c>
      <c r="B500" s="11">
        <v>4550.43</v>
      </c>
      <c r="C500" s="11">
        <v>14241.02</v>
      </c>
      <c r="D500" s="11">
        <v>92.905100000000004</v>
      </c>
      <c r="E500" s="11">
        <v>2495.66</v>
      </c>
      <c r="F500" s="11">
        <v>810.25</v>
      </c>
      <c r="G500" s="11">
        <v>73.346400000000003</v>
      </c>
      <c r="H500" s="11">
        <v>83.974900000000005</v>
      </c>
      <c r="I500" s="11">
        <v>3.5</v>
      </c>
      <c r="J500" s="11">
        <v>3.6360000000000001</v>
      </c>
      <c r="K500" s="11">
        <v>5.32</v>
      </c>
      <c r="L500" s="11">
        <v>3.6040000000000001</v>
      </c>
    </row>
    <row r="501" spans="1:12" x14ac:dyDescent="0.3">
      <c r="A501" s="2">
        <v>45258</v>
      </c>
      <c r="B501" s="11">
        <v>4554.8900000000003</v>
      </c>
      <c r="C501" s="11">
        <v>14281.76</v>
      </c>
      <c r="D501" s="11">
        <v>93.057400000000001</v>
      </c>
      <c r="E501" s="11">
        <v>2521.7600000000002</v>
      </c>
      <c r="F501" s="11">
        <v>816.44</v>
      </c>
      <c r="G501" s="11">
        <v>73.481499999999997</v>
      </c>
      <c r="H501" s="11">
        <v>84.345299999999995</v>
      </c>
      <c r="I501" s="11">
        <v>3.5</v>
      </c>
      <c r="J501" s="11">
        <v>3.62</v>
      </c>
      <c r="K501" s="11">
        <v>5.32</v>
      </c>
      <c r="L501" s="11">
        <v>3.581</v>
      </c>
    </row>
    <row r="502" spans="1:12" x14ac:dyDescent="0.3">
      <c r="A502" s="2">
        <v>45259</v>
      </c>
      <c r="B502" s="11">
        <v>4550.58</v>
      </c>
      <c r="C502" s="11">
        <v>14258.49</v>
      </c>
      <c r="D502" s="11">
        <v>93.047899999999998</v>
      </c>
      <c r="E502" s="11">
        <v>2519.81</v>
      </c>
      <c r="F502" s="11">
        <v>822.44</v>
      </c>
      <c r="G502" s="11">
        <v>73.625699999999995</v>
      </c>
      <c r="H502" s="11">
        <v>84.787899999999993</v>
      </c>
      <c r="I502" s="11">
        <v>3.5</v>
      </c>
      <c r="J502" s="11">
        <v>3.6110000000000002</v>
      </c>
      <c r="K502" s="11">
        <v>5.31</v>
      </c>
      <c r="L502" s="11">
        <v>3.5950000000000002</v>
      </c>
    </row>
    <row r="503" spans="1:12" x14ac:dyDescent="0.3">
      <c r="A503" s="2">
        <v>45260</v>
      </c>
      <c r="B503" s="11">
        <v>4567.8</v>
      </c>
      <c r="C503" s="11">
        <v>14226.22</v>
      </c>
      <c r="D503" s="11">
        <v>93.285799999999995</v>
      </c>
      <c r="E503" s="11">
        <v>2535.29</v>
      </c>
      <c r="F503" s="11">
        <v>831.68</v>
      </c>
      <c r="G503" s="11">
        <v>73.580699999999993</v>
      </c>
      <c r="H503" s="11">
        <v>84.372399999999999</v>
      </c>
      <c r="I503" s="11">
        <v>3.5</v>
      </c>
      <c r="J503" s="11">
        <v>3.657</v>
      </c>
      <c r="K503" s="11">
        <v>5.33</v>
      </c>
      <c r="L503" s="11">
        <v>3.67</v>
      </c>
    </row>
    <row r="504" spans="1:12" x14ac:dyDescent="0.3">
      <c r="A504" s="2">
        <v>45261</v>
      </c>
      <c r="B504" s="11">
        <v>4594.63</v>
      </c>
      <c r="C504" s="11">
        <v>14305.03</v>
      </c>
      <c r="D504" s="11">
        <v>93.980599999999995</v>
      </c>
      <c r="E504" s="11">
        <v>2505.0100000000002</v>
      </c>
      <c r="F504" s="11">
        <v>827.24</v>
      </c>
      <c r="G504" s="11">
        <v>73.794899999999998</v>
      </c>
      <c r="H504" s="11">
        <v>85.168400000000005</v>
      </c>
      <c r="I504" s="11">
        <v>3.5</v>
      </c>
      <c r="J504" s="11">
        <v>3.61</v>
      </c>
      <c r="K504" s="11">
        <v>5.39</v>
      </c>
      <c r="L504" s="11">
        <v>3.552</v>
      </c>
    </row>
    <row r="505" spans="1:12" x14ac:dyDescent="0.3">
      <c r="A505" s="2">
        <v>45264</v>
      </c>
      <c r="B505" s="11">
        <v>4569.78</v>
      </c>
      <c r="C505" s="11">
        <v>14185.49</v>
      </c>
      <c r="D505" s="11">
        <v>93.4</v>
      </c>
      <c r="E505" s="11">
        <v>2514.9499999999998</v>
      </c>
      <c r="F505" s="11">
        <v>828.52</v>
      </c>
      <c r="G505" s="11">
        <v>73.686400000000006</v>
      </c>
      <c r="H505" s="11">
        <v>84.815200000000004</v>
      </c>
      <c r="I505" s="11">
        <v>3.5</v>
      </c>
      <c r="J505" s="11">
        <v>3.585</v>
      </c>
      <c r="K505" s="11">
        <v>5.37</v>
      </c>
      <c r="L505" s="11">
        <v>3.556</v>
      </c>
    </row>
    <row r="506" spans="1:12" x14ac:dyDescent="0.3">
      <c r="A506" s="2">
        <v>45265</v>
      </c>
      <c r="B506" s="11">
        <v>4567.18</v>
      </c>
      <c r="C506" s="11">
        <v>14229.91</v>
      </c>
      <c r="D506" s="11">
        <v>93.219200000000001</v>
      </c>
      <c r="E506" s="11">
        <v>2494.2800000000002</v>
      </c>
      <c r="F506" s="11">
        <v>813.38</v>
      </c>
      <c r="G506" s="11">
        <v>73.776799999999994</v>
      </c>
      <c r="H506" s="11">
        <v>85.412899999999993</v>
      </c>
      <c r="I506" s="11">
        <v>3.5</v>
      </c>
      <c r="J506" s="11">
        <v>3.5939999999999999</v>
      </c>
      <c r="K506" s="11">
        <v>5.33</v>
      </c>
      <c r="L506" s="11">
        <v>3.5489999999999999</v>
      </c>
    </row>
    <row r="507" spans="1:12" x14ac:dyDescent="0.3">
      <c r="A507" s="2">
        <v>45266</v>
      </c>
      <c r="B507" s="11">
        <v>4549.34</v>
      </c>
      <c r="C507" s="11">
        <v>14146.71</v>
      </c>
      <c r="D507" s="11">
        <v>93.038399999999996</v>
      </c>
      <c r="E507" s="11">
        <v>2495.38</v>
      </c>
      <c r="F507" s="11">
        <v>819.54</v>
      </c>
      <c r="G507" s="11">
        <v>73.758700000000005</v>
      </c>
      <c r="H507" s="11">
        <v>85.766099999999994</v>
      </c>
      <c r="I507" s="11">
        <v>3.5</v>
      </c>
      <c r="J507" s="11">
        <v>3.5920000000000001</v>
      </c>
      <c r="K507" s="11">
        <v>5.32</v>
      </c>
      <c r="L507" s="11">
        <v>3.516</v>
      </c>
    </row>
    <row r="508" spans="1:12" x14ac:dyDescent="0.3">
      <c r="A508" s="2">
        <v>45267</v>
      </c>
      <c r="B508" s="11">
        <v>4585.59</v>
      </c>
      <c r="C508" s="11">
        <v>14339.99</v>
      </c>
      <c r="D508" s="11">
        <v>93.638000000000005</v>
      </c>
      <c r="E508" s="11">
        <v>2492.0700000000002</v>
      </c>
      <c r="F508" s="11">
        <v>813.2</v>
      </c>
      <c r="G508" s="11">
        <v>73.813000000000002</v>
      </c>
      <c r="H508" s="11">
        <v>85.639300000000006</v>
      </c>
      <c r="I508" s="11">
        <v>3.5</v>
      </c>
      <c r="J508" s="11">
        <v>3.5870000000000002</v>
      </c>
      <c r="K508" s="11">
        <v>5.32</v>
      </c>
      <c r="L508" s="11">
        <v>3.6179999999999999</v>
      </c>
    </row>
    <row r="509" spans="1:12" x14ac:dyDescent="0.3">
      <c r="A509" s="2">
        <v>45268</v>
      </c>
      <c r="B509" s="11">
        <v>4604.37</v>
      </c>
      <c r="C509" s="11">
        <v>14403.97</v>
      </c>
      <c r="D509" s="11">
        <v>93.942499999999995</v>
      </c>
      <c r="E509" s="11">
        <v>2517.85</v>
      </c>
      <c r="F509" s="11">
        <v>830.37</v>
      </c>
      <c r="G509" s="11">
        <v>73.650300000000001</v>
      </c>
      <c r="H509" s="11">
        <v>85.0869</v>
      </c>
      <c r="I509" s="11">
        <v>3.5</v>
      </c>
      <c r="J509" s="11">
        <v>3.6850000000000001</v>
      </c>
      <c r="K509" s="11">
        <v>5.32</v>
      </c>
      <c r="L509" s="11">
        <v>3.6829999999999998</v>
      </c>
    </row>
    <row r="510" spans="1:12" x14ac:dyDescent="0.3">
      <c r="A510" s="2">
        <v>45271</v>
      </c>
      <c r="B510" s="11">
        <v>4622.4399999999996</v>
      </c>
      <c r="C510" s="11">
        <v>14432.49</v>
      </c>
      <c r="D510" s="11">
        <v>94.275599999999997</v>
      </c>
      <c r="E510" s="11">
        <v>2525.36</v>
      </c>
      <c r="F510" s="11">
        <v>835.25</v>
      </c>
      <c r="G510" s="11">
        <v>73.668300000000002</v>
      </c>
      <c r="H510" s="11">
        <v>85.0959</v>
      </c>
      <c r="I510" s="11">
        <v>3.5</v>
      </c>
      <c r="J510" s="11">
        <v>3.7559999999999998</v>
      </c>
      <c r="K510" s="11">
        <v>5.32</v>
      </c>
      <c r="L510" s="11">
        <v>3.7120000000000002</v>
      </c>
    </row>
    <row r="511" spans="1:12" x14ac:dyDescent="0.3">
      <c r="A511" s="2">
        <v>45272</v>
      </c>
      <c r="B511" s="11">
        <v>4643.7</v>
      </c>
      <c r="C511" s="11">
        <v>14533.4</v>
      </c>
      <c r="D511" s="11">
        <v>94.580100000000002</v>
      </c>
      <c r="E511" s="11">
        <v>2535.27</v>
      </c>
      <c r="F511" s="11">
        <v>839.53</v>
      </c>
      <c r="G511" s="11">
        <v>73.677400000000006</v>
      </c>
      <c r="H511" s="11">
        <v>85.277100000000004</v>
      </c>
      <c r="I511" s="11">
        <v>3.5</v>
      </c>
      <c r="J511" s="11">
        <v>3.7010000000000001</v>
      </c>
      <c r="K511" s="11">
        <v>5.31</v>
      </c>
      <c r="L511" s="11">
        <v>3.68</v>
      </c>
    </row>
    <row r="512" spans="1:12" x14ac:dyDescent="0.3">
      <c r="A512" s="2">
        <v>45273</v>
      </c>
      <c r="B512" s="11">
        <v>4707.09</v>
      </c>
      <c r="C512" s="11">
        <v>14733.96</v>
      </c>
      <c r="D512" s="11">
        <v>95.884</v>
      </c>
      <c r="E512" s="11">
        <v>2510.66</v>
      </c>
      <c r="F512" s="11">
        <v>829.31</v>
      </c>
      <c r="G512" s="11">
        <v>74.048000000000002</v>
      </c>
      <c r="H512" s="11">
        <v>86.545000000000002</v>
      </c>
      <c r="I512" s="11">
        <v>3.5</v>
      </c>
      <c r="J512" s="11">
        <v>3.7149999999999999</v>
      </c>
      <c r="K512" s="11">
        <v>5.31</v>
      </c>
      <c r="L512" s="11">
        <v>3.6549999999999998</v>
      </c>
    </row>
    <row r="513" spans="1:12" x14ac:dyDescent="0.3">
      <c r="A513" s="2">
        <v>45274</v>
      </c>
      <c r="B513" s="11">
        <v>4719.55</v>
      </c>
      <c r="C513" s="11">
        <v>14761.56</v>
      </c>
      <c r="D513" s="11">
        <v>96.502600000000001</v>
      </c>
      <c r="E513" s="11">
        <v>2544.1799999999998</v>
      </c>
      <c r="F513" s="11">
        <v>840.59</v>
      </c>
      <c r="G513" s="11">
        <v>74.174700000000001</v>
      </c>
      <c r="H513" s="11">
        <v>87.263999999999996</v>
      </c>
      <c r="I513" s="11">
        <v>3.5</v>
      </c>
      <c r="J513" s="11">
        <v>3.7320000000000002</v>
      </c>
      <c r="K513" s="11">
        <v>5.31</v>
      </c>
      <c r="L513" s="11">
        <v>3.6739999999999999</v>
      </c>
    </row>
    <row r="514" spans="1:12" x14ac:dyDescent="0.3">
      <c r="A514" s="2">
        <v>45275</v>
      </c>
      <c r="B514" s="11">
        <v>4719.1899999999996</v>
      </c>
      <c r="C514" s="11">
        <v>14813.92</v>
      </c>
      <c r="D514" s="11">
        <v>96.093299999999999</v>
      </c>
      <c r="E514" s="11">
        <v>2563.56</v>
      </c>
      <c r="F514" s="11">
        <v>838.31</v>
      </c>
      <c r="G514" s="11">
        <v>74.093100000000007</v>
      </c>
      <c r="H514" s="11">
        <v>87.191400000000002</v>
      </c>
      <c r="I514" s="11">
        <v>3.5</v>
      </c>
      <c r="J514" s="11">
        <v>3.7349999999999999</v>
      </c>
      <c r="K514" s="11">
        <v>5.32</v>
      </c>
      <c r="L514" s="11">
        <v>3.649</v>
      </c>
    </row>
    <row r="515" spans="1:12" x14ac:dyDescent="0.3">
      <c r="A515" s="2">
        <v>45278</v>
      </c>
      <c r="B515" s="11">
        <v>4740.5600000000004</v>
      </c>
      <c r="C515" s="11">
        <v>14905.19</v>
      </c>
      <c r="D515" s="11">
        <v>96.521600000000007</v>
      </c>
      <c r="E515" s="11">
        <v>2566.86</v>
      </c>
      <c r="F515" s="11">
        <v>850.96</v>
      </c>
      <c r="G515" s="11">
        <v>74.084000000000003</v>
      </c>
      <c r="H515" s="11">
        <v>87.000600000000006</v>
      </c>
      <c r="I515" s="11">
        <v>3.5</v>
      </c>
      <c r="J515" s="11">
        <v>3.7509999999999999</v>
      </c>
      <c r="K515" s="11">
        <v>5.32</v>
      </c>
      <c r="L515" s="11">
        <v>3.69</v>
      </c>
    </row>
    <row r="516" spans="1:12" x14ac:dyDescent="0.3">
      <c r="A516" s="2">
        <v>45279</v>
      </c>
      <c r="B516" s="11">
        <v>4768.37</v>
      </c>
      <c r="C516" s="11">
        <v>15003.22</v>
      </c>
      <c r="D516" s="11">
        <v>97.216399999999993</v>
      </c>
      <c r="E516" s="11">
        <v>2568.5500000000002</v>
      </c>
      <c r="F516" s="11">
        <v>858.3</v>
      </c>
      <c r="G516" s="11">
        <v>74.111199999999997</v>
      </c>
      <c r="H516" s="11">
        <v>87.164100000000005</v>
      </c>
      <c r="I516" s="11">
        <v>3.5</v>
      </c>
      <c r="J516" s="11">
        <v>3.7469999999999999</v>
      </c>
      <c r="K516" s="11">
        <v>5.31</v>
      </c>
      <c r="L516" s="11">
        <v>3.7189999999999999</v>
      </c>
    </row>
    <row r="517" spans="1:12" x14ac:dyDescent="0.3">
      <c r="A517" s="2">
        <v>45280</v>
      </c>
      <c r="B517" s="11">
        <v>4698.3500000000004</v>
      </c>
      <c r="C517" s="11">
        <v>14777.94</v>
      </c>
      <c r="D517" s="11">
        <v>95.864000000000004</v>
      </c>
      <c r="E517" s="11">
        <v>2614.3000000000002</v>
      </c>
      <c r="F517" s="11">
        <v>862.98</v>
      </c>
      <c r="G517" s="11">
        <v>74.210999999999999</v>
      </c>
      <c r="H517" s="11">
        <v>87.590999999999994</v>
      </c>
      <c r="I517" s="11">
        <v>3.5</v>
      </c>
      <c r="J517" s="11">
        <v>3.6989999999999998</v>
      </c>
      <c r="K517" s="11">
        <v>5.31</v>
      </c>
      <c r="L517" s="11">
        <v>3.6859999999999999</v>
      </c>
    </row>
    <row r="518" spans="1:12" x14ac:dyDescent="0.3">
      <c r="A518" s="2">
        <v>45281</v>
      </c>
      <c r="B518" s="11">
        <v>4746.75</v>
      </c>
      <c r="C518" s="11">
        <v>14963.87</v>
      </c>
      <c r="D518" s="11">
        <v>97.064899999999994</v>
      </c>
      <c r="E518" s="11">
        <v>2600.02</v>
      </c>
      <c r="F518" s="11">
        <v>859.44</v>
      </c>
      <c r="G518" s="11">
        <v>74.283500000000004</v>
      </c>
      <c r="H518" s="11">
        <v>87.454800000000006</v>
      </c>
      <c r="I518" s="11">
        <v>3.5</v>
      </c>
      <c r="J518" s="11">
        <v>3.6179999999999999</v>
      </c>
      <c r="K518" s="11">
        <v>5.31</v>
      </c>
      <c r="L518" s="11">
        <v>3.629</v>
      </c>
    </row>
    <row r="519" spans="1:12" x14ac:dyDescent="0.3">
      <c r="A519" s="2">
        <v>45282</v>
      </c>
      <c r="B519" s="11">
        <v>4754.63</v>
      </c>
      <c r="C519" s="11">
        <v>14992.97</v>
      </c>
      <c r="D519" s="11">
        <v>97.209000000000003</v>
      </c>
      <c r="E519" s="11">
        <v>2599.5100000000002</v>
      </c>
      <c r="F519" s="11">
        <v>854.62</v>
      </c>
      <c r="G519" s="11">
        <v>74.310699999999997</v>
      </c>
      <c r="H519" s="11">
        <v>87.373000000000005</v>
      </c>
      <c r="I519" s="11">
        <v>3.5</v>
      </c>
      <c r="J519" s="11">
        <v>3.629</v>
      </c>
      <c r="K519" s="11">
        <v>5.32</v>
      </c>
      <c r="L519" s="11">
        <v>3.6379999999999999</v>
      </c>
    </row>
    <row r="520" spans="1:12" x14ac:dyDescent="0.3">
      <c r="A520" s="2">
        <v>45285</v>
      </c>
      <c r="B520" s="11">
        <v>4754.63</v>
      </c>
      <c r="C520" s="11">
        <v>14992.97</v>
      </c>
      <c r="D520" s="11">
        <v>97.209000000000003</v>
      </c>
      <c r="E520" s="11">
        <v>2599.5100000000002</v>
      </c>
      <c r="F520" s="11">
        <v>854.62</v>
      </c>
      <c r="G520" s="11">
        <v>74.310699999999997</v>
      </c>
      <c r="H520" s="11">
        <v>87.373000000000005</v>
      </c>
      <c r="I520" s="11">
        <v>3.5</v>
      </c>
      <c r="J520" s="11">
        <v>3.629</v>
      </c>
      <c r="K520" s="11">
        <v>5.32</v>
      </c>
      <c r="L520" s="11">
        <v>3.5</v>
      </c>
    </row>
    <row r="521" spans="1:12" x14ac:dyDescent="0.3">
      <c r="A521" s="2">
        <v>45286</v>
      </c>
      <c r="B521" s="11">
        <v>4774.75</v>
      </c>
      <c r="C521" s="11">
        <v>15074.57</v>
      </c>
      <c r="D521" s="11">
        <v>97.6798</v>
      </c>
      <c r="E521" s="11">
        <v>2602.59</v>
      </c>
      <c r="F521" s="11">
        <v>848.34</v>
      </c>
      <c r="G521" s="11">
        <v>74.274500000000003</v>
      </c>
      <c r="H521" s="11">
        <v>87.427499999999995</v>
      </c>
      <c r="I521" s="11">
        <v>3.5</v>
      </c>
      <c r="J521" s="11">
        <v>3.609</v>
      </c>
      <c r="K521" s="11">
        <v>5.35</v>
      </c>
      <c r="L521" s="11">
        <v>3.6320000000000001</v>
      </c>
    </row>
    <row r="522" spans="1:12" x14ac:dyDescent="0.3">
      <c r="A522" s="2">
        <v>45287</v>
      </c>
      <c r="B522" s="11">
        <v>4781.58</v>
      </c>
      <c r="C522" s="11">
        <v>15099.18</v>
      </c>
      <c r="D522" s="11">
        <v>97.958399999999997</v>
      </c>
      <c r="E522" s="11">
        <v>2613.5</v>
      </c>
      <c r="F522" s="11">
        <v>859.79</v>
      </c>
      <c r="G522" s="11">
        <v>74.365099999999998</v>
      </c>
      <c r="H522" s="11">
        <v>88.108800000000002</v>
      </c>
      <c r="I522" s="11">
        <v>3.5</v>
      </c>
      <c r="J522" s="11">
        <v>3.5960000000000001</v>
      </c>
      <c r="K522" s="11">
        <v>5.39</v>
      </c>
      <c r="L522" s="11">
        <v>3.556</v>
      </c>
    </row>
    <row r="523" spans="1:12" x14ac:dyDescent="0.3">
      <c r="A523" s="2">
        <v>45288</v>
      </c>
      <c r="B523" s="11">
        <v>4783.3500000000004</v>
      </c>
      <c r="C523" s="11">
        <v>15095.14</v>
      </c>
      <c r="D523" s="11">
        <v>97.958399999999997</v>
      </c>
      <c r="E523" s="11">
        <v>2655.28</v>
      </c>
      <c r="F523" s="11">
        <v>866.57</v>
      </c>
      <c r="G523" s="11">
        <v>74.356099999999998</v>
      </c>
      <c r="H523" s="11">
        <v>87.7727</v>
      </c>
      <c r="I523" s="11">
        <v>3.5</v>
      </c>
      <c r="J523" s="11">
        <v>3.5939999999999999</v>
      </c>
      <c r="K523" s="11">
        <v>5.4</v>
      </c>
      <c r="L523" s="11">
        <v>3.6</v>
      </c>
    </row>
    <row r="524" spans="1:12" x14ac:dyDescent="0.3">
      <c r="A524" s="2">
        <v>45289</v>
      </c>
      <c r="B524" s="11">
        <v>4769.83</v>
      </c>
      <c r="C524" s="11">
        <v>15011.35</v>
      </c>
      <c r="D524" s="11">
        <v>97.775899999999993</v>
      </c>
      <c r="E524" s="11">
        <v>2655.28</v>
      </c>
      <c r="F524" s="11">
        <v>866.57</v>
      </c>
      <c r="G524" s="11">
        <v>74.392399999999995</v>
      </c>
      <c r="H524" s="11">
        <v>87.554699999999997</v>
      </c>
      <c r="I524" s="11">
        <v>3.5</v>
      </c>
      <c r="J524" s="11">
        <v>3.8650000000000002</v>
      </c>
      <c r="K524" s="11">
        <v>5.38</v>
      </c>
      <c r="L524" s="11">
        <v>3.9060000000000001</v>
      </c>
    </row>
    <row r="525" spans="1:12" x14ac:dyDescent="0.3">
      <c r="A525" s="2">
        <v>45292</v>
      </c>
      <c r="B525" s="11">
        <v>4769.83</v>
      </c>
      <c r="C525" s="11">
        <v>15011.35</v>
      </c>
      <c r="D525" s="11">
        <v>97.775899999999993</v>
      </c>
      <c r="E525" s="11">
        <v>2655.28</v>
      </c>
      <c r="F525" s="11">
        <v>866.57</v>
      </c>
      <c r="G525" s="11">
        <v>74.392399999999995</v>
      </c>
      <c r="H525" s="11">
        <v>87.554699999999997</v>
      </c>
      <c r="I525" s="11">
        <v>3.5</v>
      </c>
      <c r="J525" s="11">
        <v>3.8650000000000002</v>
      </c>
      <c r="K525" s="11">
        <v>5.38</v>
      </c>
      <c r="L525" s="11">
        <v>3.5</v>
      </c>
    </row>
    <row r="526" spans="1:12" x14ac:dyDescent="0.3">
      <c r="A526" s="2">
        <v>45293</v>
      </c>
      <c r="B526" s="11">
        <v>4742.83</v>
      </c>
      <c r="C526" s="11">
        <v>14765.94</v>
      </c>
      <c r="D526" s="11">
        <v>96.94</v>
      </c>
      <c r="E526" s="11">
        <v>2669.81</v>
      </c>
      <c r="F526" s="11">
        <v>878.93</v>
      </c>
      <c r="G526" s="11">
        <v>74.301699999999997</v>
      </c>
      <c r="H526" s="11">
        <v>87.227699999999999</v>
      </c>
      <c r="I526" s="11">
        <v>3.5</v>
      </c>
      <c r="J526" s="11">
        <v>3.6040000000000001</v>
      </c>
      <c r="K526" s="11">
        <v>5.4</v>
      </c>
      <c r="L526" s="11">
        <v>3.5350000000000001</v>
      </c>
    </row>
    <row r="527" spans="1:12" x14ac:dyDescent="0.3">
      <c r="A527" s="2">
        <v>45294</v>
      </c>
      <c r="B527" s="11">
        <v>4704.8100000000004</v>
      </c>
      <c r="C527" s="11">
        <v>14592.21</v>
      </c>
      <c r="D527" s="11">
        <v>96.171400000000006</v>
      </c>
      <c r="E527" s="11">
        <v>2607.31</v>
      </c>
      <c r="F527" s="11">
        <v>871.57</v>
      </c>
      <c r="G527" s="11">
        <v>74.319800000000001</v>
      </c>
      <c r="H527" s="11">
        <v>87.436599999999999</v>
      </c>
      <c r="I527" s="11">
        <v>3.5</v>
      </c>
      <c r="J527" s="11">
        <v>3.4710000000000001</v>
      </c>
      <c r="K527" s="11">
        <v>5.39</v>
      </c>
      <c r="L527" s="11">
        <v>3.4220000000000002</v>
      </c>
    </row>
    <row r="528" spans="1:12" x14ac:dyDescent="0.3">
      <c r="A528" s="2">
        <v>45295</v>
      </c>
      <c r="B528" s="11">
        <v>4688.68</v>
      </c>
      <c r="C528" s="11">
        <v>14510.3</v>
      </c>
      <c r="D528" s="11">
        <v>96.065700000000007</v>
      </c>
      <c r="E528" s="11">
        <v>2587.02</v>
      </c>
      <c r="F528" s="11">
        <v>866.25</v>
      </c>
      <c r="G528" s="11">
        <v>74.274500000000003</v>
      </c>
      <c r="H528" s="11">
        <v>86.909800000000004</v>
      </c>
      <c r="I528" s="11">
        <v>3.5</v>
      </c>
      <c r="J528" s="11">
        <v>3.4049999999999998</v>
      </c>
      <c r="K528" s="11">
        <v>5.32</v>
      </c>
      <c r="L528" s="11">
        <v>3.391</v>
      </c>
    </row>
    <row r="529" spans="1:12" x14ac:dyDescent="0.3">
      <c r="A529" s="2">
        <v>45296</v>
      </c>
      <c r="B529" s="11">
        <v>4697.24</v>
      </c>
      <c r="C529" s="11">
        <v>14524.07</v>
      </c>
      <c r="D529" s="11">
        <v>96.152199999999993</v>
      </c>
      <c r="E529" s="11">
        <v>2578.08</v>
      </c>
      <c r="F529" s="11">
        <v>878.33</v>
      </c>
      <c r="G529" s="11">
        <v>74.256299999999996</v>
      </c>
      <c r="H529" s="11">
        <v>86.591899999999995</v>
      </c>
      <c r="I529" s="11">
        <v>3.5</v>
      </c>
      <c r="J529" s="11">
        <v>3.403</v>
      </c>
      <c r="K529" s="11">
        <v>5.31</v>
      </c>
      <c r="L529" s="11">
        <v>3.3839999999999999</v>
      </c>
    </row>
    <row r="530" spans="1:12" x14ac:dyDescent="0.3">
      <c r="A530" s="2">
        <v>45299</v>
      </c>
      <c r="B530" s="11">
        <v>4763.54</v>
      </c>
      <c r="C530" s="11">
        <v>14843.77</v>
      </c>
      <c r="D530" s="11">
        <v>97.305099999999996</v>
      </c>
      <c r="E530" s="11">
        <v>2567.8200000000002</v>
      </c>
      <c r="F530" s="11">
        <v>879.34</v>
      </c>
      <c r="G530" s="11">
        <v>74.319800000000001</v>
      </c>
      <c r="H530" s="11">
        <v>86.882499999999993</v>
      </c>
      <c r="I530" s="11">
        <v>3.5</v>
      </c>
      <c r="J530" s="11">
        <v>3.41</v>
      </c>
      <c r="K530" s="11">
        <v>5.31</v>
      </c>
      <c r="L530" s="11">
        <v>3.3780000000000001</v>
      </c>
    </row>
    <row r="531" spans="1:12" x14ac:dyDescent="0.3">
      <c r="A531" s="2">
        <v>45300</v>
      </c>
      <c r="B531" s="11">
        <v>4756.5</v>
      </c>
      <c r="C531" s="11">
        <v>14857.71</v>
      </c>
      <c r="D531" s="11">
        <v>96.863100000000003</v>
      </c>
      <c r="E531" s="11">
        <v>2561.2399999999998</v>
      </c>
      <c r="F531" s="11">
        <v>884.64</v>
      </c>
      <c r="G531" s="11">
        <v>74.337900000000005</v>
      </c>
      <c r="H531" s="11">
        <v>86.846199999999996</v>
      </c>
      <c r="I531" s="11">
        <v>3.5</v>
      </c>
      <c r="J531" s="11">
        <v>3.528</v>
      </c>
      <c r="K531" s="11">
        <v>5.31</v>
      </c>
      <c r="L531" s="11">
        <v>3.4119999999999999</v>
      </c>
    </row>
    <row r="532" spans="1:12" x14ac:dyDescent="0.3">
      <c r="A532" s="2">
        <v>45301</v>
      </c>
      <c r="B532" s="11">
        <v>4783.45</v>
      </c>
      <c r="C532" s="11">
        <v>14969.65</v>
      </c>
      <c r="D532" s="11">
        <v>97.314700000000002</v>
      </c>
      <c r="E532" s="11">
        <v>2541.98</v>
      </c>
      <c r="F532" s="11">
        <v>875.46</v>
      </c>
      <c r="G532" s="11">
        <v>74.337900000000005</v>
      </c>
      <c r="H532" s="11">
        <v>86.71</v>
      </c>
      <c r="I532" s="11">
        <v>3.5</v>
      </c>
      <c r="J532" s="11">
        <v>3.528</v>
      </c>
      <c r="K532" s="11">
        <v>5.31</v>
      </c>
      <c r="L532" s="11">
        <v>3.5030000000000001</v>
      </c>
    </row>
    <row r="533" spans="1:12" x14ac:dyDescent="0.3">
      <c r="A533" s="2">
        <v>45302</v>
      </c>
      <c r="B533" s="11">
        <v>4780.24</v>
      </c>
      <c r="C533" s="11">
        <v>14970.18</v>
      </c>
      <c r="D533" s="11">
        <v>97.2667</v>
      </c>
      <c r="E533" s="11">
        <v>2540.27</v>
      </c>
      <c r="F533" s="11">
        <v>882.53</v>
      </c>
      <c r="G533" s="11">
        <v>74.510199999999998</v>
      </c>
      <c r="H533" s="11">
        <v>87.173199999999994</v>
      </c>
      <c r="I533" s="11">
        <v>3.5</v>
      </c>
      <c r="J533" s="11">
        <v>3.4790000000000001</v>
      </c>
      <c r="K533" s="11">
        <v>5.31</v>
      </c>
      <c r="L533" s="11">
        <v>3.3929999999999998</v>
      </c>
    </row>
    <row r="534" spans="1:12" x14ac:dyDescent="0.3">
      <c r="A534" s="2">
        <v>45303</v>
      </c>
      <c r="B534" s="11">
        <v>4783.83</v>
      </c>
      <c r="C534" s="11">
        <v>14972.76</v>
      </c>
      <c r="D534" s="11">
        <v>97.468400000000003</v>
      </c>
      <c r="E534" s="11">
        <v>2525.0500000000002</v>
      </c>
      <c r="F534" s="11">
        <v>868.08</v>
      </c>
      <c r="G534" s="11">
        <v>74.664400000000001</v>
      </c>
      <c r="H534" s="11">
        <v>87.409400000000005</v>
      </c>
      <c r="I534" s="11">
        <v>3.5</v>
      </c>
      <c r="J534" s="11">
        <v>3.4550000000000001</v>
      </c>
      <c r="K534" s="11">
        <v>5.31</v>
      </c>
      <c r="L534" s="11">
        <v>3.4319999999999999</v>
      </c>
    </row>
    <row r="535" spans="1:12" x14ac:dyDescent="0.3">
      <c r="A535" s="2">
        <v>45306</v>
      </c>
      <c r="B535" s="11">
        <v>4783.83</v>
      </c>
      <c r="C535" s="11">
        <v>14972.76</v>
      </c>
      <c r="D535" s="11">
        <v>97.468400000000003</v>
      </c>
      <c r="E535" s="11">
        <v>2525.9899999999998</v>
      </c>
      <c r="F535" s="11">
        <v>859.71</v>
      </c>
      <c r="G535" s="11">
        <v>74.664400000000001</v>
      </c>
      <c r="H535" s="11">
        <v>87.409400000000005</v>
      </c>
      <c r="I535" s="11">
        <v>3.5</v>
      </c>
      <c r="J535" s="11">
        <v>3.4529999999999998</v>
      </c>
      <c r="K535" s="11">
        <v>5.31</v>
      </c>
      <c r="L535" s="11">
        <v>3.4729999999999999</v>
      </c>
    </row>
    <row r="536" spans="1:12" x14ac:dyDescent="0.3">
      <c r="A536" s="2">
        <v>45307</v>
      </c>
      <c r="B536" s="11">
        <v>4765.9799999999996</v>
      </c>
      <c r="C536" s="11">
        <v>14944.35</v>
      </c>
      <c r="D536" s="11">
        <v>96.613299999999995</v>
      </c>
      <c r="E536" s="11">
        <v>2497.59</v>
      </c>
      <c r="F536" s="11">
        <v>854.83</v>
      </c>
      <c r="G536" s="11">
        <v>74.546499999999995</v>
      </c>
      <c r="H536" s="11">
        <v>86.700900000000004</v>
      </c>
      <c r="I536" s="11">
        <v>3.5</v>
      </c>
      <c r="J536" s="11">
        <v>3.504</v>
      </c>
      <c r="K536" s="11">
        <v>5.32</v>
      </c>
      <c r="L536" s="11">
        <v>3.492</v>
      </c>
    </row>
    <row r="537" spans="1:12" x14ac:dyDescent="0.3">
      <c r="A537" s="2">
        <v>45308</v>
      </c>
      <c r="B537" s="11">
        <v>4739.21</v>
      </c>
      <c r="C537" s="11">
        <v>14855.62</v>
      </c>
      <c r="D537" s="11">
        <v>95.873599999999996</v>
      </c>
      <c r="E537" s="11">
        <v>2435.9</v>
      </c>
      <c r="F537" s="11">
        <v>833.05</v>
      </c>
      <c r="G537" s="11">
        <v>74.401399999999995</v>
      </c>
      <c r="H537" s="11">
        <v>86.419300000000007</v>
      </c>
      <c r="I537" s="11">
        <v>3.5</v>
      </c>
      <c r="J537" s="11">
        <v>3.5030000000000001</v>
      </c>
      <c r="K537" s="11">
        <v>5.32</v>
      </c>
      <c r="L537" s="11">
        <v>3.4990000000000001</v>
      </c>
    </row>
    <row r="538" spans="1:12" x14ac:dyDescent="0.3">
      <c r="A538" s="2">
        <v>45309</v>
      </c>
      <c r="B538" s="11">
        <v>4780.9399999999996</v>
      </c>
      <c r="C538" s="11">
        <v>15055.65</v>
      </c>
      <c r="D538" s="11">
        <v>96.709400000000002</v>
      </c>
      <c r="E538" s="11">
        <v>2440.04</v>
      </c>
      <c r="F538" s="11">
        <v>840.33</v>
      </c>
      <c r="G538" s="11">
        <v>74.437700000000007</v>
      </c>
      <c r="H538" s="11">
        <v>86.228499999999997</v>
      </c>
      <c r="I538" s="11">
        <v>3.5</v>
      </c>
      <c r="J538" s="11">
        <v>3.5049999999999999</v>
      </c>
      <c r="K538" s="11">
        <v>5.31</v>
      </c>
      <c r="L538" s="11">
        <v>3.5070000000000001</v>
      </c>
    </row>
    <row r="539" spans="1:12" x14ac:dyDescent="0.3">
      <c r="A539" s="2">
        <v>45310</v>
      </c>
      <c r="B539" s="11">
        <v>4839.8100000000004</v>
      </c>
      <c r="C539" s="11">
        <v>15310.97</v>
      </c>
      <c r="D539" s="11">
        <v>97.6798</v>
      </c>
      <c r="E539" s="11">
        <v>2472.7399999999998</v>
      </c>
      <c r="F539" s="11">
        <v>842.67</v>
      </c>
      <c r="G539" s="11">
        <v>74.383300000000006</v>
      </c>
      <c r="H539" s="11">
        <v>86.2376</v>
      </c>
      <c r="I539" s="11">
        <v>3.5</v>
      </c>
      <c r="J539" s="11">
        <v>3.569</v>
      </c>
      <c r="K539" s="11">
        <v>5.31</v>
      </c>
      <c r="L539" s="11">
        <v>3.5249999999999999</v>
      </c>
    </row>
    <row r="540" spans="1:12" x14ac:dyDescent="0.3">
      <c r="A540" s="2">
        <v>45313</v>
      </c>
      <c r="B540" s="11">
        <v>4850.43</v>
      </c>
      <c r="C540" s="11">
        <v>15360.29</v>
      </c>
      <c r="D540" s="11">
        <v>97.833500000000001</v>
      </c>
      <c r="E540" s="11">
        <v>2464.35</v>
      </c>
      <c r="F540" s="11">
        <v>839.69</v>
      </c>
      <c r="G540" s="11">
        <v>74.419600000000003</v>
      </c>
      <c r="H540" s="11">
        <v>86.501000000000005</v>
      </c>
      <c r="I540" s="11">
        <v>3.5</v>
      </c>
      <c r="J540" s="11">
        <v>3.5870000000000002</v>
      </c>
      <c r="K540" s="11">
        <v>5.31</v>
      </c>
      <c r="L540" s="11">
        <v>3.5230000000000001</v>
      </c>
    </row>
    <row r="541" spans="1:12" x14ac:dyDescent="0.3">
      <c r="A541" s="2">
        <v>45314</v>
      </c>
      <c r="B541" s="11">
        <v>4864.6000000000004</v>
      </c>
      <c r="C541" s="11">
        <v>15425.94</v>
      </c>
      <c r="D541" s="11">
        <v>98.035300000000007</v>
      </c>
      <c r="E541" s="11">
        <v>2478.61</v>
      </c>
      <c r="F541" s="11">
        <v>840.11</v>
      </c>
      <c r="G541" s="11">
        <v>74.410499999999999</v>
      </c>
      <c r="H541" s="11">
        <v>86.283000000000001</v>
      </c>
      <c r="I541" s="11">
        <v>3.5</v>
      </c>
      <c r="J541" s="11">
        <v>3.5430000000000001</v>
      </c>
      <c r="K541" s="11">
        <v>5.31</v>
      </c>
      <c r="L541" s="11">
        <v>3.4740000000000002</v>
      </c>
    </row>
    <row r="542" spans="1:12" x14ac:dyDescent="0.3">
      <c r="A542" s="2">
        <v>45315</v>
      </c>
      <c r="B542" s="11">
        <v>4868.55</v>
      </c>
      <c r="C542" s="11">
        <v>15481.92</v>
      </c>
      <c r="D542" s="11">
        <v>98.361900000000006</v>
      </c>
      <c r="E542" s="11">
        <v>2469.69</v>
      </c>
      <c r="F542" s="11">
        <v>836.21</v>
      </c>
      <c r="G542" s="11">
        <v>74.374200000000002</v>
      </c>
      <c r="H542" s="11">
        <v>86.037800000000004</v>
      </c>
      <c r="I542" s="11">
        <v>3.5</v>
      </c>
      <c r="J542" s="11">
        <v>3.4689999999999999</v>
      </c>
      <c r="K542" s="11">
        <v>5.31</v>
      </c>
      <c r="L542" s="11">
        <v>3.4489999999999998</v>
      </c>
    </row>
    <row r="543" spans="1:12" x14ac:dyDescent="0.3">
      <c r="A543" s="2">
        <v>45316</v>
      </c>
      <c r="B543" s="11">
        <v>4894.16</v>
      </c>
      <c r="C543" s="11">
        <v>15510.5</v>
      </c>
      <c r="D543" s="11">
        <v>98.755799999999994</v>
      </c>
      <c r="E543" s="11">
        <v>2470.34</v>
      </c>
      <c r="F543" s="11">
        <v>823.74</v>
      </c>
      <c r="G543" s="11">
        <v>74.510199999999998</v>
      </c>
      <c r="H543" s="11">
        <v>86.410200000000003</v>
      </c>
      <c r="I543" s="11">
        <v>3.5</v>
      </c>
      <c r="J543" s="11">
        <v>3.4740000000000002</v>
      </c>
      <c r="K543" s="11">
        <v>5.32</v>
      </c>
      <c r="L543" s="11">
        <v>3.46</v>
      </c>
    </row>
    <row r="544" spans="1:12" x14ac:dyDescent="0.3">
      <c r="A544" s="2">
        <v>45317</v>
      </c>
      <c r="B544" s="11">
        <v>4890.97</v>
      </c>
      <c r="C544" s="11">
        <v>15455.36</v>
      </c>
      <c r="D544" s="11">
        <v>98.842299999999994</v>
      </c>
      <c r="E544" s="11">
        <v>2478.56</v>
      </c>
      <c r="F544" s="11">
        <v>837.24</v>
      </c>
      <c r="G544" s="11">
        <v>74.4649</v>
      </c>
      <c r="H544" s="11">
        <v>86.255799999999994</v>
      </c>
      <c r="I544" s="11">
        <v>3.5</v>
      </c>
      <c r="J544" s="11">
        <v>3.48</v>
      </c>
      <c r="K544" s="11">
        <v>5.32</v>
      </c>
      <c r="L544" s="11">
        <v>3.504</v>
      </c>
    </row>
    <row r="545" spans="1:12" x14ac:dyDescent="0.3">
      <c r="A545" s="2">
        <v>45320</v>
      </c>
      <c r="B545" s="11">
        <v>4927.93</v>
      </c>
      <c r="C545" s="11">
        <v>15628.04</v>
      </c>
      <c r="D545" s="11">
        <v>99.495599999999996</v>
      </c>
      <c r="E545" s="11">
        <v>2500.65</v>
      </c>
      <c r="F545" s="11">
        <v>819.14</v>
      </c>
      <c r="G545" s="11">
        <v>74.537400000000005</v>
      </c>
      <c r="H545" s="11">
        <v>86.773499999999999</v>
      </c>
      <c r="I545" s="11">
        <v>3.5</v>
      </c>
      <c r="J545" s="11">
        <v>3.4510000000000001</v>
      </c>
      <c r="K545" s="11">
        <v>5.31</v>
      </c>
      <c r="L545" s="11">
        <v>3.484</v>
      </c>
    </row>
    <row r="546" spans="1:12" x14ac:dyDescent="0.3">
      <c r="A546" s="2">
        <v>45321</v>
      </c>
      <c r="B546" s="11">
        <v>4924.97</v>
      </c>
      <c r="C546" s="11">
        <v>15509.9</v>
      </c>
      <c r="D546" s="11">
        <v>99.332300000000004</v>
      </c>
      <c r="E546" s="11">
        <v>2498.81</v>
      </c>
      <c r="F546" s="11">
        <v>818.86</v>
      </c>
      <c r="G546" s="11">
        <v>74.492099999999994</v>
      </c>
      <c r="H546" s="11">
        <v>86.891599999999997</v>
      </c>
      <c r="I546" s="11">
        <v>3.5</v>
      </c>
      <c r="J546" s="11">
        <v>3.5649999999999999</v>
      </c>
      <c r="K546" s="11">
        <v>5.31</v>
      </c>
      <c r="L546" s="11">
        <v>3.5449999999999999</v>
      </c>
    </row>
    <row r="547" spans="1:12" x14ac:dyDescent="0.3">
      <c r="A547" s="2">
        <v>45322</v>
      </c>
      <c r="B547" s="11">
        <v>4845.6499999999996</v>
      </c>
      <c r="C547" s="11">
        <v>15164.01</v>
      </c>
      <c r="D547" s="11">
        <v>98.044899999999998</v>
      </c>
      <c r="E547" s="11">
        <v>2497.09</v>
      </c>
      <c r="F547" s="11">
        <v>799.24</v>
      </c>
      <c r="G547" s="11">
        <v>74.628100000000003</v>
      </c>
      <c r="H547" s="11">
        <v>87.618300000000005</v>
      </c>
      <c r="I547" s="11">
        <v>3.5</v>
      </c>
      <c r="J547" s="11">
        <v>3.613</v>
      </c>
      <c r="K547" s="11">
        <v>5.32</v>
      </c>
      <c r="L547" s="11">
        <v>3.613</v>
      </c>
    </row>
    <row r="548" spans="1:12" x14ac:dyDescent="0.3">
      <c r="A548" s="2">
        <v>45323</v>
      </c>
      <c r="B548" s="11">
        <v>4906.1899999999996</v>
      </c>
      <c r="C548" s="11">
        <v>15361.64</v>
      </c>
      <c r="D548" s="11">
        <v>99.265000000000001</v>
      </c>
      <c r="E548" s="11">
        <v>2542.46</v>
      </c>
      <c r="F548" s="11">
        <v>798.73</v>
      </c>
      <c r="G548" s="11">
        <v>74.739199999999997</v>
      </c>
      <c r="H548" s="11">
        <v>88.160799999999995</v>
      </c>
      <c r="I548" s="11">
        <v>3.5</v>
      </c>
      <c r="J548" s="11">
        <v>3.593</v>
      </c>
      <c r="K548" s="11">
        <v>5.32</v>
      </c>
      <c r="L548" s="11">
        <v>3.573</v>
      </c>
    </row>
    <row r="549" spans="1:12" x14ac:dyDescent="0.3">
      <c r="A549" s="2">
        <v>45324</v>
      </c>
      <c r="B549" s="11">
        <v>4958.6099999999997</v>
      </c>
      <c r="C549" s="11">
        <v>15628.95</v>
      </c>
      <c r="D549" s="11">
        <v>99.668499999999995</v>
      </c>
      <c r="E549" s="11">
        <v>2615.31</v>
      </c>
      <c r="F549" s="11">
        <v>814.77</v>
      </c>
      <c r="G549" s="11">
        <v>74.502700000000004</v>
      </c>
      <c r="H549" s="11">
        <v>87.013499999999993</v>
      </c>
      <c r="I549" s="11">
        <v>3.5</v>
      </c>
      <c r="J549" s="11">
        <v>3.54</v>
      </c>
      <c r="K549" s="11">
        <v>5.32</v>
      </c>
      <c r="L549" s="11">
        <v>3.5409999999999999</v>
      </c>
    </row>
    <row r="550" spans="1:12" x14ac:dyDescent="0.3">
      <c r="A550" s="2">
        <v>45327</v>
      </c>
      <c r="B550" s="11">
        <v>4942.8100000000004</v>
      </c>
      <c r="C550" s="11">
        <v>15597.68</v>
      </c>
      <c r="D550" s="11">
        <v>99.284199999999998</v>
      </c>
      <c r="E550" s="11">
        <v>2591.31</v>
      </c>
      <c r="F550" s="11">
        <v>807.99</v>
      </c>
      <c r="G550" s="11">
        <v>74.357200000000006</v>
      </c>
      <c r="H550" s="11">
        <v>86.166700000000006</v>
      </c>
      <c r="I550" s="11">
        <v>3.5</v>
      </c>
      <c r="J550" s="11">
        <v>3.6120000000000001</v>
      </c>
      <c r="K550" s="11">
        <v>5.31</v>
      </c>
      <c r="L550" s="11">
        <v>3.573</v>
      </c>
    </row>
    <row r="551" spans="1:12" x14ac:dyDescent="0.3">
      <c r="A551" s="2">
        <v>45328</v>
      </c>
      <c r="B551" s="11">
        <v>4954.2299999999996</v>
      </c>
      <c r="C551" s="11">
        <v>15609</v>
      </c>
      <c r="D551" s="11">
        <v>99.860699999999994</v>
      </c>
      <c r="E551" s="11">
        <v>2576.1999999999998</v>
      </c>
      <c r="F551" s="11">
        <v>807.03</v>
      </c>
      <c r="G551" s="11">
        <v>74.475399999999993</v>
      </c>
      <c r="H551" s="11">
        <v>86.631100000000004</v>
      </c>
      <c r="I551" s="11">
        <v>3.5</v>
      </c>
      <c r="J551" s="11">
        <v>3.6160000000000001</v>
      </c>
      <c r="K551" s="11">
        <v>5.31</v>
      </c>
      <c r="L551" s="11">
        <v>3.5720000000000001</v>
      </c>
    </row>
    <row r="552" spans="1:12" x14ac:dyDescent="0.3">
      <c r="A552" s="2">
        <v>45329</v>
      </c>
      <c r="B552" s="11">
        <v>4995.0600000000004</v>
      </c>
      <c r="C552" s="11">
        <v>15756.64</v>
      </c>
      <c r="D552" s="11">
        <v>100.3699</v>
      </c>
      <c r="E552" s="11">
        <v>2609.58</v>
      </c>
      <c r="F552" s="11">
        <v>811.92</v>
      </c>
      <c r="G552" s="11">
        <v>74.4482</v>
      </c>
      <c r="H552" s="11">
        <v>86.476299999999995</v>
      </c>
      <c r="I552" s="11">
        <v>3.5</v>
      </c>
      <c r="J552" s="11">
        <v>3.6160000000000001</v>
      </c>
      <c r="K552" s="11">
        <v>5.31</v>
      </c>
      <c r="L552" s="11">
        <v>3.5179999999999998</v>
      </c>
    </row>
    <row r="553" spans="1:12" x14ac:dyDescent="0.3">
      <c r="A553" s="2">
        <v>45330</v>
      </c>
      <c r="B553" s="11">
        <v>4997.91</v>
      </c>
      <c r="C553" s="11">
        <v>15793.71</v>
      </c>
      <c r="D553" s="11">
        <v>100.3507</v>
      </c>
      <c r="E553" s="11">
        <v>2620.3200000000002</v>
      </c>
      <c r="F553" s="11">
        <v>826.58</v>
      </c>
      <c r="G553" s="11">
        <v>74.430000000000007</v>
      </c>
      <c r="H553" s="11">
        <v>86.194000000000003</v>
      </c>
      <c r="I553" s="11">
        <v>3.5</v>
      </c>
      <c r="J553" s="11">
        <v>3.6520000000000001</v>
      </c>
      <c r="K553" s="11">
        <v>5.31</v>
      </c>
      <c r="L553" s="11">
        <v>3.601</v>
      </c>
    </row>
    <row r="554" spans="1:12" x14ac:dyDescent="0.3">
      <c r="A554" s="2">
        <v>45331</v>
      </c>
      <c r="B554" s="11">
        <v>5026.6099999999997</v>
      </c>
      <c r="C554" s="11">
        <v>15990.66</v>
      </c>
      <c r="D554" s="11">
        <v>100.8887</v>
      </c>
      <c r="E554" s="11">
        <v>2620.3200000000002</v>
      </c>
      <c r="F554" s="11">
        <v>826.58</v>
      </c>
      <c r="G554" s="11">
        <v>74.402699999999996</v>
      </c>
      <c r="H554" s="11">
        <v>86.039199999999994</v>
      </c>
      <c r="I554" s="11">
        <v>3.5</v>
      </c>
      <c r="J554" s="11">
        <v>3.6520000000000001</v>
      </c>
      <c r="K554" s="11">
        <v>5.31</v>
      </c>
      <c r="L554" s="11">
        <v>3.5</v>
      </c>
    </row>
    <row r="555" spans="1:12" x14ac:dyDescent="0.3">
      <c r="A555" s="2">
        <v>45334</v>
      </c>
      <c r="B555" s="11">
        <v>5021.84</v>
      </c>
      <c r="C555" s="11">
        <v>15942.55</v>
      </c>
      <c r="D555" s="11">
        <v>101.0136</v>
      </c>
      <c r="E555" s="11">
        <v>2620.3200000000002</v>
      </c>
      <c r="F555" s="11">
        <v>826.58</v>
      </c>
      <c r="G555" s="11">
        <v>74.411799999999999</v>
      </c>
      <c r="H555" s="11">
        <v>86.121200000000002</v>
      </c>
      <c r="I555" s="11">
        <v>3.5</v>
      </c>
      <c r="J555" s="11">
        <v>3.6520000000000001</v>
      </c>
      <c r="K555" s="11">
        <v>5.31</v>
      </c>
      <c r="L555" s="11">
        <v>3.5</v>
      </c>
    </row>
    <row r="556" spans="1:12" x14ac:dyDescent="0.3">
      <c r="A556" s="2">
        <v>45335</v>
      </c>
      <c r="B556" s="11">
        <v>4953.17</v>
      </c>
      <c r="C556" s="11">
        <v>15655.6</v>
      </c>
      <c r="D556" s="11">
        <v>99.409099999999995</v>
      </c>
      <c r="E556" s="11">
        <v>2649.64</v>
      </c>
      <c r="F556" s="11">
        <v>845.15</v>
      </c>
      <c r="G556" s="11">
        <v>74.175299999999993</v>
      </c>
      <c r="H556" s="11">
        <v>85.174199999999999</v>
      </c>
      <c r="I556" s="11">
        <v>3.5</v>
      </c>
      <c r="J556" s="11">
        <v>3.6440000000000001</v>
      </c>
      <c r="K556" s="11">
        <v>5.31</v>
      </c>
      <c r="L556" s="11">
        <v>3.62</v>
      </c>
    </row>
    <row r="557" spans="1:12" x14ac:dyDescent="0.3">
      <c r="A557" s="2">
        <v>45336</v>
      </c>
      <c r="B557" s="11">
        <v>5000.62</v>
      </c>
      <c r="C557" s="11">
        <v>15859.15</v>
      </c>
      <c r="D557" s="11">
        <v>100.5044</v>
      </c>
      <c r="E557" s="11">
        <v>2620.42</v>
      </c>
      <c r="F557" s="11">
        <v>853.3</v>
      </c>
      <c r="G557" s="11">
        <v>74.284499999999994</v>
      </c>
      <c r="H557" s="11">
        <v>85.492900000000006</v>
      </c>
      <c r="I557" s="11">
        <v>3.5</v>
      </c>
      <c r="J557" s="11">
        <v>3.6680000000000001</v>
      </c>
      <c r="K557" s="11">
        <v>5.3</v>
      </c>
      <c r="L557" s="11">
        <v>3.6440000000000001</v>
      </c>
    </row>
    <row r="558" spans="1:12" x14ac:dyDescent="0.3">
      <c r="A558" s="2">
        <v>45337</v>
      </c>
      <c r="B558" s="11">
        <v>5029.7299999999996</v>
      </c>
      <c r="C558" s="11">
        <v>15906.17</v>
      </c>
      <c r="D558" s="11">
        <v>101.31140000000001</v>
      </c>
      <c r="E558" s="11">
        <v>2613.8000000000002</v>
      </c>
      <c r="F558" s="11">
        <v>859.21</v>
      </c>
      <c r="G558" s="11">
        <v>74.357200000000006</v>
      </c>
      <c r="H558" s="11">
        <v>85.729600000000005</v>
      </c>
      <c r="I558" s="11">
        <v>3.5</v>
      </c>
      <c r="J558" s="11">
        <v>3.6659999999999999</v>
      </c>
      <c r="K558" s="11">
        <v>5.31</v>
      </c>
      <c r="L558" s="11">
        <v>3.6819999999999999</v>
      </c>
    </row>
    <row r="559" spans="1:12" x14ac:dyDescent="0.3">
      <c r="A559" s="2">
        <v>45338</v>
      </c>
      <c r="B559" s="11">
        <v>5005.57</v>
      </c>
      <c r="C559" s="11">
        <v>15775.65</v>
      </c>
      <c r="D559" s="11">
        <v>101.0616</v>
      </c>
      <c r="E559" s="11">
        <v>2648.76</v>
      </c>
      <c r="F559" s="11">
        <v>857.6</v>
      </c>
      <c r="G559" s="11">
        <v>74.266300000000001</v>
      </c>
      <c r="H559" s="11">
        <v>85.356300000000005</v>
      </c>
      <c r="I559" s="11">
        <v>3.5</v>
      </c>
      <c r="J559" s="11">
        <v>3.7130000000000001</v>
      </c>
      <c r="K559" s="11">
        <v>5.3</v>
      </c>
      <c r="L559" s="11">
        <v>3.661</v>
      </c>
    </row>
    <row r="560" spans="1:12" x14ac:dyDescent="0.3">
      <c r="A560" s="2">
        <v>45341</v>
      </c>
      <c r="B560" s="11">
        <v>5005.57</v>
      </c>
      <c r="C560" s="11">
        <v>15775.65</v>
      </c>
      <c r="D560" s="11">
        <v>101.0616</v>
      </c>
      <c r="E560" s="11">
        <v>2680.26</v>
      </c>
      <c r="F560" s="11">
        <v>858.47</v>
      </c>
      <c r="G560" s="11">
        <v>74.266300000000001</v>
      </c>
      <c r="H560" s="11">
        <v>85.356300000000005</v>
      </c>
      <c r="I560" s="11">
        <v>3.5</v>
      </c>
      <c r="J560" s="11">
        <v>3.7069999999999999</v>
      </c>
      <c r="K560" s="11">
        <v>5.3</v>
      </c>
      <c r="L560" s="11">
        <v>3.6339999999999999</v>
      </c>
    </row>
    <row r="561" spans="1:12" x14ac:dyDescent="0.3">
      <c r="A561" s="2">
        <v>45342</v>
      </c>
      <c r="B561" s="11">
        <v>4975.51</v>
      </c>
      <c r="C561" s="11">
        <v>15630.78</v>
      </c>
      <c r="D561" s="11">
        <v>100.7734</v>
      </c>
      <c r="E561" s="11">
        <v>2657.79</v>
      </c>
      <c r="F561" s="11">
        <v>866.17</v>
      </c>
      <c r="G561" s="11">
        <v>74.311700000000002</v>
      </c>
      <c r="H561" s="11">
        <v>85.501999999999995</v>
      </c>
      <c r="I561" s="11">
        <v>3.5</v>
      </c>
      <c r="J561" s="11">
        <v>3.6709999999999998</v>
      </c>
      <c r="K561" s="11">
        <v>5.3</v>
      </c>
      <c r="L561" s="11">
        <v>3.59</v>
      </c>
    </row>
    <row r="562" spans="1:12" x14ac:dyDescent="0.3">
      <c r="A562" s="2">
        <v>45343</v>
      </c>
      <c r="B562" s="11">
        <v>4981.8</v>
      </c>
      <c r="C562" s="11">
        <v>15580.87</v>
      </c>
      <c r="D562" s="11">
        <v>100.8022</v>
      </c>
      <c r="E562" s="11">
        <v>2653.31</v>
      </c>
      <c r="F562" s="11">
        <v>864.07</v>
      </c>
      <c r="G562" s="11">
        <v>74.248099999999994</v>
      </c>
      <c r="H562" s="11">
        <v>85.228800000000007</v>
      </c>
      <c r="I562" s="11">
        <v>3.5</v>
      </c>
      <c r="J562" s="11">
        <v>3.6509999999999998</v>
      </c>
      <c r="K562" s="11">
        <v>5.3</v>
      </c>
      <c r="L562" s="11">
        <v>3.625</v>
      </c>
    </row>
    <row r="563" spans="1:12" x14ac:dyDescent="0.3">
      <c r="A563" s="2">
        <v>45344</v>
      </c>
      <c r="B563" s="11">
        <v>5087.03</v>
      </c>
      <c r="C563" s="11">
        <v>16041.62</v>
      </c>
      <c r="D563" s="11">
        <v>102.5364</v>
      </c>
      <c r="E563" s="11">
        <v>2664.27</v>
      </c>
      <c r="F563" s="11">
        <v>870.11</v>
      </c>
      <c r="G563" s="11">
        <v>74.239000000000004</v>
      </c>
      <c r="H563" s="11">
        <v>85.237899999999996</v>
      </c>
      <c r="I563" s="11">
        <v>3.5</v>
      </c>
      <c r="J563" s="11">
        <v>3.7069999999999999</v>
      </c>
      <c r="K563" s="11">
        <v>5.3</v>
      </c>
      <c r="L563" s="11">
        <v>3.6589999999999998</v>
      </c>
    </row>
    <row r="564" spans="1:12" x14ac:dyDescent="0.3">
      <c r="A564" s="2">
        <v>45345</v>
      </c>
      <c r="B564" s="11">
        <v>5088.8</v>
      </c>
      <c r="C564" s="11">
        <v>15996.82</v>
      </c>
      <c r="D564" s="11">
        <v>102.5796</v>
      </c>
      <c r="E564" s="11">
        <v>2667.7</v>
      </c>
      <c r="F564" s="11">
        <v>868.57</v>
      </c>
      <c r="G564" s="11">
        <v>74.275400000000005</v>
      </c>
      <c r="H564" s="11">
        <v>85.629499999999993</v>
      </c>
      <c r="I564" s="11">
        <v>3.5</v>
      </c>
      <c r="J564" s="11">
        <v>3.7839999999999998</v>
      </c>
      <c r="K564" s="11">
        <v>5.31</v>
      </c>
      <c r="L564" s="11">
        <v>3.677</v>
      </c>
    </row>
    <row r="565" spans="1:12" x14ac:dyDescent="0.3">
      <c r="A565" s="2">
        <v>45348</v>
      </c>
      <c r="B565" s="11">
        <v>5069.53</v>
      </c>
      <c r="C565" s="11">
        <v>15976.25</v>
      </c>
      <c r="D565" s="11">
        <v>102.301</v>
      </c>
      <c r="E565" s="11">
        <v>2647.08</v>
      </c>
      <c r="F565" s="11">
        <v>867.4</v>
      </c>
      <c r="G565" s="11">
        <v>74.220799999999997</v>
      </c>
      <c r="H565" s="11">
        <v>85.501999999999995</v>
      </c>
      <c r="I565" s="11">
        <v>3.5</v>
      </c>
      <c r="J565" s="11">
        <v>3.66</v>
      </c>
      <c r="K565" s="11">
        <v>5.31</v>
      </c>
      <c r="L565" s="11">
        <v>3.5680000000000001</v>
      </c>
    </row>
    <row r="566" spans="1:12" x14ac:dyDescent="0.3">
      <c r="A566" s="2">
        <v>45349</v>
      </c>
      <c r="B566" s="11">
        <v>5078.18</v>
      </c>
      <c r="C566" s="11">
        <v>16035.3</v>
      </c>
      <c r="D566" s="11">
        <v>102.50279999999999</v>
      </c>
      <c r="E566" s="11">
        <v>2625.05</v>
      </c>
      <c r="F566" s="11">
        <v>853.75</v>
      </c>
      <c r="G566" s="11">
        <v>74.220799999999997</v>
      </c>
      <c r="H566" s="11">
        <v>85.3108</v>
      </c>
      <c r="I566" s="11">
        <v>3.5</v>
      </c>
      <c r="J566" s="11">
        <v>3.5550000000000002</v>
      </c>
      <c r="K566" s="11">
        <v>5.31</v>
      </c>
      <c r="L566" s="11">
        <v>3.4649999999999999</v>
      </c>
    </row>
    <row r="567" spans="1:12" x14ac:dyDescent="0.3">
      <c r="A567" s="2">
        <v>45350</v>
      </c>
      <c r="B567" s="11">
        <v>5069.76</v>
      </c>
      <c r="C567" s="11">
        <v>15947.74</v>
      </c>
      <c r="D567" s="11">
        <v>102.07040000000001</v>
      </c>
      <c r="E567" s="11">
        <v>2652.29</v>
      </c>
      <c r="F567" s="11">
        <v>863.39</v>
      </c>
      <c r="G567" s="11">
        <v>74.293499999999995</v>
      </c>
      <c r="H567" s="11">
        <v>85.620400000000004</v>
      </c>
      <c r="I567" s="11">
        <v>3.5</v>
      </c>
      <c r="J567" s="11">
        <v>3.43</v>
      </c>
      <c r="K567" s="11">
        <v>5.31</v>
      </c>
      <c r="L567" s="11">
        <v>3.4009999999999998</v>
      </c>
    </row>
    <row r="568" spans="1:12" x14ac:dyDescent="0.3">
      <c r="A568" s="2">
        <v>45351</v>
      </c>
      <c r="B568" s="11">
        <v>5096.2700000000004</v>
      </c>
      <c r="C568" s="11">
        <v>16091.92</v>
      </c>
      <c r="D568" s="11">
        <v>102.46429999999999</v>
      </c>
      <c r="E568" s="11">
        <v>2642.36</v>
      </c>
      <c r="F568" s="11">
        <v>862.96</v>
      </c>
      <c r="G568" s="11">
        <v>74.338999999999999</v>
      </c>
      <c r="H568" s="11">
        <v>85.793400000000005</v>
      </c>
      <c r="I568" s="11">
        <v>3.5</v>
      </c>
      <c r="J568" s="11">
        <v>3.4369999999999998</v>
      </c>
      <c r="K568" s="11">
        <v>5.32</v>
      </c>
      <c r="L568" s="11">
        <v>3.4630000000000001</v>
      </c>
    </row>
    <row r="569" spans="1:12" x14ac:dyDescent="0.3">
      <c r="A569" s="2">
        <v>45352</v>
      </c>
      <c r="B569" s="11">
        <v>5137.08</v>
      </c>
      <c r="C569" s="11">
        <v>16274.94</v>
      </c>
      <c r="D569" s="11">
        <v>103.4539</v>
      </c>
      <c r="E569" s="11">
        <v>2642.36</v>
      </c>
      <c r="F569" s="11">
        <v>862.96</v>
      </c>
      <c r="G569" s="11">
        <v>74.485399999999998</v>
      </c>
      <c r="H569" s="11">
        <v>86.185199999999995</v>
      </c>
      <c r="I569" s="11">
        <v>3.5</v>
      </c>
      <c r="J569" s="11">
        <v>3.4369999999999998</v>
      </c>
      <c r="K569" s="11">
        <v>5.31</v>
      </c>
      <c r="L569" s="11">
        <v>3.5</v>
      </c>
    </row>
    <row r="570" spans="1:12" x14ac:dyDescent="0.3">
      <c r="A570" s="2">
        <v>45355</v>
      </c>
      <c r="B570" s="11">
        <v>5130.95</v>
      </c>
      <c r="C570" s="11">
        <v>16207.51</v>
      </c>
      <c r="D570" s="11">
        <v>103.3002</v>
      </c>
      <c r="E570" s="11">
        <v>2674.27</v>
      </c>
      <c r="F570" s="11">
        <v>872.97</v>
      </c>
      <c r="G570" s="11">
        <v>74.412400000000005</v>
      </c>
      <c r="H570" s="11">
        <v>85.993499999999997</v>
      </c>
      <c r="I570" s="11">
        <v>3.5</v>
      </c>
      <c r="J570" s="11">
        <v>3.42</v>
      </c>
      <c r="K570" s="11">
        <v>5.31</v>
      </c>
      <c r="L570" s="11">
        <v>3.3660000000000001</v>
      </c>
    </row>
    <row r="571" spans="1:12" x14ac:dyDescent="0.3">
      <c r="A571" s="2">
        <v>45356</v>
      </c>
      <c r="B571" s="11">
        <v>5078.6499999999996</v>
      </c>
      <c r="C571" s="11">
        <v>15939.59</v>
      </c>
      <c r="D571" s="11">
        <v>102.46429999999999</v>
      </c>
      <c r="E571" s="11">
        <v>2649.4</v>
      </c>
      <c r="F571" s="11">
        <v>866.37</v>
      </c>
      <c r="G571" s="11">
        <v>74.467200000000005</v>
      </c>
      <c r="H571" s="11">
        <v>86.522999999999996</v>
      </c>
      <c r="I571" s="11">
        <v>3.5</v>
      </c>
      <c r="J571" s="11">
        <v>3.4169999999999998</v>
      </c>
      <c r="K571" s="11">
        <v>5.31</v>
      </c>
      <c r="L571" s="11">
        <v>3.2370000000000001</v>
      </c>
    </row>
    <row r="572" spans="1:12" x14ac:dyDescent="0.3">
      <c r="A572" s="2">
        <v>45357</v>
      </c>
      <c r="B572" s="11">
        <v>5104.76</v>
      </c>
      <c r="C572" s="11">
        <v>16031.54</v>
      </c>
      <c r="D572" s="11">
        <v>103.26179999999999</v>
      </c>
      <c r="E572" s="11">
        <v>2641.49</v>
      </c>
      <c r="F572" s="11">
        <v>870.67</v>
      </c>
      <c r="G572" s="11">
        <v>74.485399999999998</v>
      </c>
      <c r="H572" s="11">
        <v>86.733000000000004</v>
      </c>
      <c r="I572" s="11">
        <v>3.5</v>
      </c>
      <c r="J572" s="11">
        <v>3.419</v>
      </c>
      <c r="K572" s="11">
        <v>5.31</v>
      </c>
      <c r="L572" s="11">
        <v>3.4769999999999999</v>
      </c>
    </row>
    <row r="573" spans="1:12" x14ac:dyDescent="0.3">
      <c r="A573" s="2">
        <v>45358</v>
      </c>
      <c r="B573" s="11">
        <v>5157.3599999999997</v>
      </c>
      <c r="C573" s="11">
        <v>16273.38</v>
      </c>
      <c r="D573" s="11">
        <v>104.3378</v>
      </c>
      <c r="E573" s="11">
        <v>2647.62</v>
      </c>
      <c r="F573" s="11">
        <v>863.37</v>
      </c>
      <c r="G573" s="11">
        <v>74.576599999999999</v>
      </c>
      <c r="H573" s="11">
        <v>86.879099999999994</v>
      </c>
      <c r="I573" s="11">
        <v>3.5</v>
      </c>
      <c r="J573" s="11">
        <v>3.4220000000000002</v>
      </c>
      <c r="K573" s="11">
        <v>5.31</v>
      </c>
      <c r="L573" s="11">
        <v>3.375</v>
      </c>
    </row>
    <row r="574" spans="1:12" x14ac:dyDescent="0.3">
      <c r="A574" s="2">
        <v>45359</v>
      </c>
      <c r="B574" s="11">
        <v>5123.6899999999996</v>
      </c>
      <c r="C574" s="11">
        <v>16085.11</v>
      </c>
      <c r="D574" s="11">
        <v>103.82859999999999</v>
      </c>
      <c r="E574" s="11">
        <v>2680.35</v>
      </c>
      <c r="F574" s="11">
        <v>873.18</v>
      </c>
      <c r="G574" s="11">
        <v>74.613100000000003</v>
      </c>
      <c r="H574" s="11">
        <v>86.942999999999998</v>
      </c>
      <c r="I574" s="11">
        <v>3.5</v>
      </c>
      <c r="J574" s="11">
        <v>3.5910000000000002</v>
      </c>
      <c r="K574" s="11">
        <v>5.31</v>
      </c>
      <c r="L574" s="11">
        <v>3.5459999999999998</v>
      </c>
    </row>
    <row r="575" spans="1:12" x14ac:dyDescent="0.3">
      <c r="A575" s="2">
        <v>45362</v>
      </c>
      <c r="B575" s="11">
        <v>5117.9399999999996</v>
      </c>
      <c r="C575" s="11">
        <v>16019.27</v>
      </c>
      <c r="D575" s="11">
        <v>103.6172</v>
      </c>
      <c r="E575" s="11">
        <v>2659.84</v>
      </c>
      <c r="F575" s="11">
        <v>875.93</v>
      </c>
      <c r="G575" s="11">
        <v>74.549300000000002</v>
      </c>
      <c r="H575" s="11">
        <v>86.833500000000001</v>
      </c>
      <c r="I575" s="11">
        <v>3.5</v>
      </c>
      <c r="J575" s="11">
        <v>3.448</v>
      </c>
      <c r="K575" s="11">
        <v>5.31</v>
      </c>
      <c r="L575" s="11">
        <v>3.4</v>
      </c>
    </row>
    <row r="576" spans="1:12" x14ac:dyDescent="0.3">
      <c r="A576" s="2">
        <v>45363</v>
      </c>
      <c r="B576" s="11">
        <v>5175.2700000000004</v>
      </c>
      <c r="C576" s="11">
        <v>16265.64</v>
      </c>
      <c r="D576" s="11">
        <v>104.6645</v>
      </c>
      <c r="E576" s="11">
        <v>2681.81</v>
      </c>
      <c r="F576" s="11">
        <v>889.71</v>
      </c>
      <c r="G576" s="11">
        <v>74.476299999999995</v>
      </c>
      <c r="H576" s="11">
        <v>86.477400000000003</v>
      </c>
      <c r="I576" s="11">
        <v>3.5</v>
      </c>
      <c r="J576" s="11">
        <v>3.3359999999999999</v>
      </c>
      <c r="K576" s="11">
        <v>5.31</v>
      </c>
      <c r="L576" s="11">
        <v>3.4209999999999998</v>
      </c>
    </row>
    <row r="577" spans="1:12" x14ac:dyDescent="0.3">
      <c r="A577" s="2">
        <v>45364</v>
      </c>
      <c r="B577" s="11">
        <v>5165.3100000000004</v>
      </c>
      <c r="C577" s="11">
        <v>16177.77</v>
      </c>
      <c r="D577" s="11">
        <v>104.5299</v>
      </c>
      <c r="E577" s="11">
        <v>2693.57</v>
      </c>
      <c r="F577" s="11">
        <v>889.93</v>
      </c>
      <c r="G577" s="11">
        <v>74.439800000000005</v>
      </c>
      <c r="H577" s="11">
        <v>86.285700000000006</v>
      </c>
      <c r="I577" s="11">
        <v>3.5</v>
      </c>
      <c r="J577" s="11">
        <v>3.2839999999999998</v>
      </c>
      <c r="K577" s="11">
        <v>5.31</v>
      </c>
      <c r="L577" s="11">
        <v>3.4710000000000001</v>
      </c>
    </row>
    <row r="578" spans="1:12" x14ac:dyDescent="0.3">
      <c r="A578" s="2">
        <v>45365</v>
      </c>
      <c r="B578" s="11">
        <v>5150.4799999999996</v>
      </c>
      <c r="C578" s="11">
        <v>16128.53</v>
      </c>
      <c r="D578" s="11">
        <v>104.1168</v>
      </c>
      <c r="E578" s="11">
        <v>2718.76</v>
      </c>
      <c r="F578" s="11">
        <v>887.52</v>
      </c>
      <c r="G578" s="11">
        <v>74.375900000000001</v>
      </c>
      <c r="H578" s="11">
        <v>85.646600000000007</v>
      </c>
      <c r="I578" s="11">
        <v>3.5</v>
      </c>
      <c r="J578" s="11">
        <v>3.27</v>
      </c>
      <c r="K578" s="11">
        <v>5.31</v>
      </c>
      <c r="L578" s="11">
        <v>3.4860000000000002</v>
      </c>
    </row>
    <row r="579" spans="1:12" x14ac:dyDescent="0.3">
      <c r="A579" s="2">
        <v>45366</v>
      </c>
      <c r="B579" s="11">
        <v>5117.09</v>
      </c>
      <c r="C579" s="11">
        <v>15973.17</v>
      </c>
      <c r="D579" s="11">
        <v>103.58839999999999</v>
      </c>
      <c r="E579" s="11">
        <v>2666.84</v>
      </c>
      <c r="F579" s="11">
        <v>880.46</v>
      </c>
      <c r="G579" s="11">
        <v>74.330299999999994</v>
      </c>
      <c r="H579" s="11">
        <v>85.500500000000002</v>
      </c>
      <c r="I579" s="11">
        <v>3.5</v>
      </c>
      <c r="J579" s="11">
        <v>3.3420000000000001</v>
      </c>
      <c r="K579" s="11">
        <v>5.31</v>
      </c>
      <c r="L579" s="11">
        <v>3.464</v>
      </c>
    </row>
    <row r="580" spans="1:12" x14ac:dyDescent="0.3">
      <c r="A580" s="2">
        <v>45369</v>
      </c>
      <c r="B580" s="11">
        <v>5149.42</v>
      </c>
      <c r="C580" s="11">
        <v>16103.45</v>
      </c>
      <c r="D580" s="11">
        <v>104.0111</v>
      </c>
      <c r="E580" s="11">
        <v>2685.84</v>
      </c>
      <c r="F580" s="11">
        <v>894.48</v>
      </c>
      <c r="G580" s="11">
        <v>74.339500000000001</v>
      </c>
      <c r="H580" s="11">
        <v>85.400099999999995</v>
      </c>
      <c r="I580" s="11">
        <v>3.5</v>
      </c>
      <c r="J580" s="11">
        <v>3.3479999999999999</v>
      </c>
      <c r="K580" s="11">
        <v>5.31</v>
      </c>
      <c r="L580" s="11">
        <v>3.4409999999999998</v>
      </c>
    </row>
    <row r="581" spans="1:12" x14ac:dyDescent="0.3">
      <c r="A581" s="2">
        <v>45370</v>
      </c>
      <c r="B581" s="11">
        <v>5178.51</v>
      </c>
      <c r="C581" s="11">
        <v>16166.79</v>
      </c>
      <c r="D581" s="11">
        <v>104.3762</v>
      </c>
      <c r="E581" s="11">
        <v>2656.17</v>
      </c>
      <c r="F581" s="11">
        <v>891.91</v>
      </c>
      <c r="G581" s="11">
        <v>74.403300000000002</v>
      </c>
      <c r="H581" s="11">
        <v>85.646600000000007</v>
      </c>
      <c r="I581" s="11">
        <v>3.5</v>
      </c>
      <c r="J581" s="11">
        <v>3.4369999999999998</v>
      </c>
      <c r="K581" s="11">
        <v>5.31</v>
      </c>
      <c r="L581" s="11">
        <v>3.5129999999999999</v>
      </c>
    </row>
    <row r="582" spans="1:12" x14ac:dyDescent="0.3">
      <c r="A582" s="2">
        <v>45371</v>
      </c>
      <c r="B582" s="11">
        <v>5224.62</v>
      </c>
      <c r="C582" s="11">
        <v>16369.41</v>
      </c>
      <c r="D582" s="11">
        <v>105.4331</v>
      </c>
      <c r="E582" s="11">
        <v>2690.14</v>
      </c>
      <c r="F582" s="11">
        <v>891.45</v>
      </c>
      <c r="G582" s="11">
        <v>74.521900000000002</v>
      </c>
      <c r="H582" s="11">
        <v>85.847399999999993</v>
      </c>
      <c r="I582" s="11">
        <v>3.5</v>
      </c>
      <c r="J582" s="11">
        <v>3.55</v>
      </c>
      <c r="K582" s="11">
        <v>5.31</v>
      </c>
      <c r="L582" s="11">
        <v>3.5329999999999999</v>
      </c>
    </row>
    <row r="583" spans="1:12" x14ac:dyDescent="0.3">
      <c r="A583" s="2">
        <v>45372</v>
      </c>
      <c r="B583" s="11">
        <v>5241.53</v>
      </c>
      <c r="C583" s="11">
        <v>16401.84</v>
      </c>
      <c r="D583" s="11">
        <v>105.6636</v>
      </c>
      <c r="E583" s="11">
        <v>2754.86</v>
      </c>
      <c r="F583" s="11">
        <v>904.29</v>
      </c>
      <c r="G583" s="11">
        <v>74.521900000000002</v>
      </c>
      <c r="H583" s="11">
        <v>85.8566</v>
      </c>
      <c r="I583" s="11">
        <v>3.5</v>
      </c>
      <c r="J583" s="11">
        <v>3.569</v>
      </c>
      <c r="K583" s="11">
        <v>5.31</v>
      </c>
      <c r="L583" s="11">
        <v>3.5289999999999999</v>
      </c>
    </row>
    <row r="584" spans="1:12" x14ac:dyDescent="0.3">
      <c r="A584" s="2">
        <v>45373</v>
      </c>
      <c r="B584" s="11">
        <v>5234.18</v>
      </c>
      <c r="C584" s="11">
        <v>16428.82</v>
      </c>
      <c r="D584" s="11">
        <v>105.41379999999999</v>
      </c>
      <c r="E584" s="11">
        <v>2748.56</v>
      </c>
      <c r="F584" s="11">
        <v>903.98</v>
      </c>
      <c r="G584" s="11">
        <v>74.576599999999999</v>
      </c>
      <c r="H584" s="11">
        <v>86.276499999999999</v>
      </c>
      <c r="I584" s="11">
        <v>3.5</v>
      </c>
      <c r="J584" s="11">
        <v>3.4910000000000001</v>
      </c>
      <c r="K584" s="11">
        <v>5.31</v>
      </c>
      <c r="L584" s="11">
        <v>3.476</v>
      </c>
    </row>
    <row r="585" spans="1:12" x14ac:dyDescent="0.3">
      <c r="A585" s="2">
        <v>45376</v>
      </c>
      <c r="B585" s="11">
        <v>5218.1899999999996</v>
      </c>
      <c r="C585" s="11">
        <v>16384.47</v>
      </c>
      <c r="D585" s="11">
        <v>105.2025</v>
      </c>
      <c r="E585" s="11">
        <v>2737.57</v>
      </c>
      <c r="F585" s="11">
        <v>913.69</v>
      </c>
      <c r="G585" s="11">
        <v>74.540099999999995</v>
      </c>
      <c r="H585" s="11">
        <v>86.048299999999998</v>
      </c>
      <c r="I585" s="11">
        <v>3.5</v>
      </c>
      <c r="J585" s="11">
        <v>3.4089999999999998</v>
      </c>
      <c r="K585" s="11">
        <v>5.31</v>
      </c>
      <c r="L585" s="11">
        <v>3.4820000000000002</v>
      </c>
    </row>
    <row r="586" spans="1:12" x14ac:dyDescent="0.3">
      <c r="A586" s="2">
        <v>45377</v>
      </c>
      <c r="B586" s="11">
        <v>5203.58</v>
      </c>
      <c r="C586" s="11">
        <v>16315.7</v>
      </c>
      <c r="D586" s="11">
        <v>105.05840000000001</v>
      </c>
      <c r="E586" s="11">
        <v>2757.09</v>
      </c>
      <c r="F586" s="11">
        <v>916.09</v>
      </c>
      <c r="G586" s="11">
        <v>74.558400000000006</v>
      </c>
      <c r="H586" s="11">
        <v>86.176100000000005</v>
      </c>
      <c r="I586" s="11">
        <v>3.5</v>
      </c>
      <c r="J586" s="11">
        <v>3.3410000000000002</v>
      </c>
      <c r="K586" s="11">
        <v>5.32</v>
      </c>
      <c r="L586" s="11">
        <v>3.472</v>
      </c>
    </row>
    <row r="587" spans="1:12" x14ac:dyDescent="0.3">
      <c r="A587" s="2">
        <v>45378</v>
      </c>
      <c r="B587" s="11">
        <v>5248.49</v>
      </c>
      <c r="C587" s="11">
        <v>16399.52</v>
      </c>
      <c r="D587" s="11">
        <v>105.827</v>
      </c>
      <c r="E587" s="11">
        <v>2755.11</v>
      </c>
      <c r="F587" s="11">
        <v>911.25</v>
      </c>
      <c r="G587" s="11">
        <v>74.640500000000003</v>
      </c>
      <c r="H587" s="11">
        <v>86.504800000000003</v>
      </c>
      <c r="I587" s="11">
        <v>3.5</v>
      </c>
      <c r="J587" s="11">
        <v>3.3079999999999998</v>
      </c>
      <c r="K587" s="11">
        <v>5.33</v>
      </c>
      <c r="L587" s="11">
        <v>3.44</v>
      </c>
    </row>
    <row r="588" spans="1:12" x14ac:dyDescent="0.3">
      <c r="A588" s="2">
        <v>45379</v>
      </c>
      <c r="B588" s="11">
        <v>5254.35</v>
      </c>
      <c r="C588" s="11">
        <v>16379.46</v>
      </c>
      <c r="D588" s="11">
        <v>105.8078</v>
      </c>
      <c r="E588" s="11">
        <v>2745.82</v>
      </c>
      <c r="F588" s="11">
        <v>910.05</v>
      </c>
      <c r="G588" s="11">
        <v>74.594899999999996</v>
      </c>
      <c r="H588" s="11">
        <v>86.422600000000003</v>
      </c>
      <c r="I588" s="11">
        <v>3.5</v>
      </c>
      <c r="J588" s="11">
        <v>3.4350000000000001</v>
      </c>
      <c r="K588" s="11">
        <v>5.34</v>
      </c>
      <c r="L588" s="11">
        <v>3.5019999999999998</v>
      </c>
    </row>
    <row r="589" spans="1:12" x14ac:dyDescent="0.3">
      <c r="A589" s="2">
        <v>45380</v>
      </c>
      <c r="B589" s="11">
        <v>5254.35</v>
      </c>
      <c r="C589" s="11">
        <v>16379.46</v>
      </c>
      <c r="D589" s="11">
        <v>105.8078</v>
      </c>
      <c r="E589" s="11">
        <v>2746.63</v>
      </c>
      <c r="F589" s="11">
        <v>905.5</v>
      </c>
      <c r="G589" s="11">
        <v>74.594899999999996</v>
      </c>
      <c r="H589" s="11">
        <v>86.422600000000003</v>
      </c>
      <c r="I589" s="11">
        <v>3.5</v>
      </c>
      <c r="J589" s="11">
        <v>3.569</v>
      </c>
      <c r="K589" s="11">
        <v>5.34</v>
      </c>
      <c r="L589" s="11">
        <v>3.5739999999999998</v>
      </c>
    </row>
    <row r="590" spans="1:12" x14ac:dyDescent="0.3">
      <c r="A590" s="2">
        <v>45383</v>
      </c>
      <c r="B590" s="11">
        <v>5243.77</v>
      </c>
      <c r="C590" s="11">
        <v>16396.830000000002</v>
      </c>
      <c r="D590" s="11">
        <v>105.55800000000001</v>
      </c>
      <c r="E590" s="11">
        <v>2747.86</v>
      </c>
      <c r="F590" s="11">
        <v>912.45</v>
      </c>
      <c r="G590" s="11">
        <v>74.439700000000002</v>
      </c>
      <c r="H590" s="11">
        <v>85.640500000000003</v>
      </c>
      <c r="I590" s="11">
        <v>3.5</v>
      </c>
      <c r="J590" s="11">
        <v>3.4809999999999999</v>
      </c>
      <c r="K590" s="11">
        <v>5.35</v>
      </c>
      <c r="L590" s="11">
        <v>3.5009999999999999</v>
      </c>
    </row>
    <row r="591" spans="1:12" x14ac:dyDescent="0.3">
      <c r="A591" s="2">
        <v>45384</v>
      </c>
      <c r="B591" s="11">
        <v>5205.8100000000004</v>
      </c>
      <c r="C591" s="11">
        <v>16240.45</v>
      </c>
      <c r="D591" s="11">
        <v>104.9335</v>
      </c>
      <c r="E591" s="11">
        <v>2753.16</v>
      </c>
      <c r="F591" s="11">
        <v>891.59</v>
      </c>
      <c r="G591" s="11">
        <v>74.476299999999995</v>
      </c>
      <c r="H591" s="11">
        <v>85.457400000000007</v>
      </c>
      <c r="I591" s="11">
        <v>3.5</v>
      </c>
      <c r="J591" s="11">
        <v>3.4140000000000001</v>
      </c>
      <c r="K591" s="11">
        <v>5.34</v>
      </c>
      <c r="L591" s="11">
        <v>3.4790000000000001</v>
      </c>
    </row>
    <row r="592" spans="1:12" x14ac:dyDescent="0.3">
      <c r="A592" s="2">
        <v>45385</v>
      </c>
      <c r="B592" s="11">
        <v>5211.49</v>
      </c>
      <c r="C592" s="11">
        <v>16277.46</v>
      </c>
      <c r="D592" s="11">
        <v>105.1833</v>
      </c>
      <c r="E592" s="11">
        <v>2706.97</v>
      </c>
      <c r="F592" s="11">
        <v>879.96</v>
      </c>
      <c r="G592" s="11">
        <v>74.531199999999998</v>
      </c>
      <c r="H592" s="11">
        <v>85.558099999999996</v>
      </c>
      <c r="I592" s="11">
        <v>3.5</v>
      </c>
      <c r="J592" s="11">
        <v>3.4020000000000001</v>
      </c>
      <c r="K592" s="11">
        <v>5.32</v>
      </c>
      <c r="L592" s="11">
        <v>3.4449999999999998</v>
      </c>
    </row>
    <row r="593" spans="1:12" x14ac:dyDescent="0.3">
      <c r="A593" s="2">
        <v>45386</v>
      </c>
      <c r="B593" s="11">
        <v>5147.21</v>
      </c>
      <c r="C593" s="11">
        <v>16049.08</v>
      </c>
      <c r="D593" s="11">
        <v>104.1264</v>
      </c>
      <c r="E593" s="11">
        <v>2742</v>
      </c>
      <c r="F593" s="11">
        <v>882.9</v>
      </c>
      <c r="G593" s="11">
        <v>74.604399999999998</v>
      </c>
      <c r="H593" s="11">
        <v>85.851100000000002</v>
      </c>
      <c r="I593" s="11">
        <v>3.5</v>
      </c>
      <c r="J593" s="11">
        <v>3.4049999999999998</v>
      </c>
      <c r="K593" s="11">
        <v>5.32</v>
      </c>
      <c r="L593" s="11">
        <v>3.4990000000000001</v>
      </c>
    </row>
    <row r="594" spans="1:12" x14ac:dyDescent="0.3">
      <c r="A594" s="2">
        <v>45387</v>
      </c>
      <c r="B594" s="11">
        <v>5204.34</v>
      </c>
      <c r="C594" s="11">
        <v>16248.52</v>
      </c>
      <c r="D594" s="11">
        <v>104.9431</v>
      </c>
      <c r="E594" s="11">
        <v>2714.21</v>
      </c>
      <c r="F594" s="11">
        <v>872.29</v>
      </c>
      <c r="G594" s="11">
        <v>74.485399999999998</v>
      </c>
      <c r="H594" s="11">
        <v>85.2834</v>
      </c>
      <c r="I594" s="11">
        <v>3.5</v>
      </c>
      <c r="J594" s="11">
        <v>3.51</v>
      </c>
      <c r="K594" s="11">
        <v>5.32</v>
      </c>
      <c r="L594" s="11">
        <v>3.5259999999999998</v>
      </c>
    </row>
    <row r="595" spans="1:12" x14ac:dyDescent="0.3">
      <c r="A595" s="2">
        <v>45390</v>
      </c>
      <c r="B595" s="11">
        <v>5202.3900000000003</v>
      </c>
      <c r="C595" s="11">
        <v>16253.96</v>
      </c>
      <c r="D595" s="11">
        <v>105.164</v>
      </c>
      <c r="E595" s="11">
        <v>2717.65</v>
      </c>
      <c r="F595" s="11">
        <v>860.57</v>
      </c>
      <c r="G595" s="11">
        <v>74.412199999999999</v>
      </c>
      <c r="H595" s="11">
        <v>85.091099999999997</v>
      </c>
      <c r="I595" s="11">
        <v>3.5</v>
      </c>
      <c r="J595" s="11">
        <v>3.573</v>
      </c>
      <c r="K595" s="11">
        <v>5.31</v>
      </c>
      <c r="L595" s="11">
        <v>3.544</v>
      </c>
    </row>
    <row r="596" spans="1:12" x14ac:dyDescent="0.3">
      <c r="A596" s="2">
        <v>45391</v>
      </c>
      <c r="B596" s="11">
        <v>5209.91</v>
      </c>
      <c r="C596" s="11">
        <v>16306.64</v>
      </c>
      <c r="D596" s="11">
        <v>105.31780000000001</v>
      </c>
      <c r="E596" s="11">
        <v>2705.16</v>
      </c>
      <c r="F596" s="11">
        <v>859.33</v>
      </c>
      <c r="G596" s="11">
        <v>74.485399999999998</v>
      </c>
      <c r="H596" s="11">
        <v>85.429900000000004</v>
      </c>
      <c r="I596" s="11">
        <v>3.5</v>
      </c>
      <c r="J596" s="11">
        <v>3.573</v>
      </c>
      <c r="K596" s="11">
        <v>5.31</v>
      </c>
      <c r="L596" s="11">
        <v>3.4609999999999999</v>
      </c>
    </row>
    <row r="597" spans="1:12" x14ac:dyDescent="0.3">
      <c r="A597" s="2">
        <v>45392</v>
      </c>
      <c r="B597" s="11">
        <v>5160.6400000000003</v>
      </c>
      <c r="C597" s="11">
        <v>16170.36</v>
      </c>
      <c r="D597" s="11">
        <v>104.1168</v>
      </c>
      <c r="E597" s="11">
        <v>2705.16</v>
      </c>
      <c r="F597" s="11">
        <v>859.33</v>
      </c>
      <c r="G597" s="11">
        <v>74.183400000000006</v>
      </c>
      <c r="H597" s="11">
        <v>84.294499999999999</v>
      </c>
      <c r="I597" s="11">
        <v>3.5</v>
      </c>
      <c r="J597" s="11">
        <v>3.573</v>
      </c>
      <c r="K597" s="11">
        <v>5.31</v>
      </c>
      <c r="L597" s="11">
        <v>3.5</v>
      </c>
    </row>
    <row r="598" spans="1:12" x14ac:dyDescent="0.3">
      <c r="A598" s="2">
        <v>45393</v>
      </c>
      <c r="B598" s="11">
        <v>5199.0600000000004</v>
      </c>
      <c r="C598" s="11">
        <v>16442.2</v>
      </c>
      <c r="D598" s="11">
        <v>104.7317</v>
      </c>
      <c r="E598" s="11">
        <v>2706.96</v>
      </c>
      <c r="F598" s="11">
        <v>858.1</v>
      </c>
      <c r="G598" s="11">
        <v>74.275000000000006</v>
      </c>
      <c r="H598" s="11">
        <v>84.1755</v>
      </c>
      <c r="I598" s="11">
        <v>3.5</v>
      </c>
      <c r="J598" s="11">
        <v>3.52</v>
      </c>
      <c r="K598" s="11">
        <v>5.31</v>
      </c>
      <c r="L598" s="11">
        <v>3.5030000000000001</v>
      </c>
    </row>
    <row r="599" spans="1:12" x14ac:dyDescent="0.3">
      <c r="A599" s="2">
        <v>45394</v>
      </c>
      <c r="B599" s="11">
        <v>5123.41</v>
      </c>
      <c r="C599" s="11">
        <v>16175.09</v>
      </c>
      <c r="D599" s="11">
        <v>103.1176</v>
      </c>
      <c r="E599" s="11">
        <v>2681.82</v>
      </c>
      <c r="F599" s="11">
        <v>860.47</v>
      </c>
      <c r="G599" s="11">
        <v>74.320700000000002</v>
      </c>
      <c r="H599" s="11">
        <v>84.523399999999995</v>
      </c>
      <c r="I599" s="11">
        <v>3.5</v>
      </c>
      <c r="J599" s="11">
        <v>3.4649999999999999</v>
      </c>
      <c r="K599" s="11">
        <v>5.31</v>
      </c>
      <c r="L599" s="11">
        <v>3.5</v>
      </c>
    </row>
    <row r="600" spans="1:12" x14ac:dyDescent="0.3">
      <c r="A600" s="2">
        <v>45397</v>
      </c>
      <c r="B600" s="11">
        <v>5061.82</v>
      </c>
      <c r="C600" s="11">
        <v>15885.02</v>
      </c>
      <c r="D600" s="11">
        <v>102.1185</v>
      </c>
      <c r="E600" s="11">
        <v>2670.43</v>
      </c>
      <c r="F600" s="11">
        <v>852.42</v>
      </c>
      <c r="G600" s="11">
        <v>74.293300000000002</v>
      </c>
      <c r="H600" s="11">
        <v>83.983199999999997</v>
      </c>
      <c r="I600" s="11">
        <v>3.5</v>
      </c>
      <c r="J600" s="11">
        <v>3.4220000000000002</v>
      </c>
      <c r="K600" s="11">
        <v>5.32</v>
      </c>
      <c r="L600" s="11">
        <v>3.4940000000000002</v>
      </c>
    </row>
    <row r="601" spans="1:12" x14ac:dyDescent="0.3">
      <c r="A601" s="2">
        <v>45398</v>
      </c>
      <c r="B601" s="11">
        <v>5051.41</v>
      </c>
      <c r="C601" s="11">
        <v>15865.25</v>
      </c>
      <c r="D601" s="11">
        <v>101.5804</v>
      </c>
      <c r="E601" s="11">
        <v>2609.63</v>
      </c>
      <c r="F601" s="11">
        <v>832.81</v>
      </c>
      <c r="G601" s="11">
        <v>74.247500000000002</v>
      </c>
      <c r="H601" s="11">
        <v>83.653599999999997</v>
      </c>
      <c r="I601" s="11">
        <v>3.5</v>
      </c>
      <c r="J601" s="11">
        <v>3.33</v>
      </c>
      <c r="K601" s="11">
        <v>5.31</v>
      </c>
      <c r="L601" s="11">
        <v>3.42</v>
      </c>
    </row>
    <row r="602" spans="1:12" x14ac:dyDescent="0.3">
      <c r="A602" s="2">
        <v>45399</v>
      </c>
      <c r="B602" s="11">
        <v>5022.21</v>
      </c>
      <c r="C602" s="11">
        <v>15683.37</v>
      </c>
      <c r="D602" s="11">
        <v>101.20569999999999</v>
      </c>
      <c r="E602" s="11">
        <v>2584.1799999999998</v>
      </c>
      <c r="F602" s="11">
        <v>833.03</v>
      </c>
      <c r="G602" s="11">
        <v>74.302400000000006</v>
      </c>
      <c r="H602" s="11">
        <v>84.184600000000003</v>
      </c>
      <c r="I602" s="11">
        <v>3.5</v>
      </c>
      <c r="J602" s="11">
        <v>3.3439999999999999</v>
      </c>
      <c r="K602" s="11">
        <v>5.31</v>
      </c>
      <c r="L602" s="11">
        <v>3.4849999999999999</v>
      </c>
    </row>
    <row r="603" spans="1:12" x14ac:dyDescent="0.3">
      <c r="A603" s="2">
        <v>45400</v>
      </c>
      <c r="B603" s="11">
        <v>5011.12</v>
      </c>
      <c r="C603" s="11">
        <v>15601.5</v>
      </c>
      <c r="D603" s="11">
        <v>101.0616</v>
      </c>
      <c r="E603" s="11">
        <v>2634.7</v>
      </c>
      <c r="F603" s="11">
        <v>855.65</v>
      </c>
      <c r="G603" s="11">
        <v>74.265799999999999</v>
      </c>
      <c r="H603" s="11">
        <v>83.891599999999997</v>
      </c>
      <c r="I603" s="11">
        <v>3.5</v>
      </c>
      <c r="J603" s="11">
        <v>3.4350000000000001</v>
      </c>
      <c r="K603" s="11">
        <v>5.3</v>
      </c>
      <c r="L603" s="11">
        <v>3.5190000000000001</v>
      </c>
    </row>
    <row r="604" spans="1:12" x14ac:dyDescent="0.3">
      <c r="A604" s="2">
        <v>45401</v>
      </c>
      <c r="B604" s="11">
        <v>4967.2299999999996</v>
      </c>
      <c r="C604" s="11">
        <v>15282.01</v>
      </c>
      <c r="D604" s="11">
        <v>100.4371</v>
      </c>
      <c r="E604" s="11">
        <v>2591.86</v>
      </c>
      <c r="F604" s="11">
        <v>841.91</v>
      </c>
      <c r="G604" s="11">
        <v>74.284099999999995</v>
      </c>
      <c r="H604" s="11">
        <v>84.001499999999993</v>
      </c>
      <c r="I604" s="11">
        <v>3.5</v>
      </c>
      <c r="J604" s="11">
        <v>3.5230000000000001</v>
      </c>
      <c r="K604" s="11">
        <v>5.31</v>
      </c>
      <c r="L604" s="11">
        <v>3.5139999999999998</v>
      </c>
    </row>
    <row r="605" spans="1:12" x14ac:dyDescent="0.3">
      <c r="A605" s="2">
        <v>45404</v>
      </c>
      <c r="B605" s="11">
        <v>5010.6000000000004</v>
      </c>
      <c r="C605" s="11">
        <v>15451.31</v>
      </c>
      <c r="D605" s="11">
        <v>101.4555</v>
      </c>
      <c r="E605" s="11">
        <v>2629.44</v>
      </c>
      <c r="F605" s="11">
        <v>845.82</v>
      </c>
      <c r="G605" s="11">
        <v>74.320700000000002</v>
      </c>
      <c r="H605" s="11">
        <v>84.0107</v>
      </c>
      <c r="I605" s="11">
        <v>3.5</v>
      </c>
      <c r="J605" s="11">
        <v>3.52</v>
      </c>
      <c r="K605" s="11">
        <v>5.31</v>
      </c>
      <c r="L605" s="11">
        <v>3.5329999999999999</v>
      </c>
    </row>
    <row r="606" spans="1:12" x14ac:dyDescent="0.3">
      <c r="A606" s="2">
        <v>45405</v>
      </c>
      <c r="B606" s="11">
        <v>5070.55</v>
      </c>
      <c r="C606" s="11">
        <v>15696.64</v>
      </c>
      <c r="D606" s="11">
        <v>102.58920000000001</v>
      </c>
      <c r="E606" s="11">
        <v>2623.02</v>
      </c>
      <c r="F606" s="11">
        <v>845.44</v>
      </c>
      <c r="G606" s="11">
        <v>74.384799999999998</v>
      </c>
      <c r="H606" s="11">
        <v>84.120500000000007</v>
      </c>
      <c r="I606" s="11">
        <v>3.5</v>
      </c>
      <c r="J606" s="11">
        <v>3.5409999999999999</v>
      </c>
      <c r="K606" s="11">
        <v>5.31</v>
      </c>
      <c r="L606" s="11">
        <v>3.532</v>
      </c>
    </row>
    <row r="607" spans="1:12" x14ac:dyDescent="0.3">
      <c r="A607" s="2">
        <v>45406</v>
      </c>
      <c r="B607" s="11">
        <v>5071.63</v>
      </c>
      <c r="C607" s="11">
        <v>15712.75</v>
      </c>
      <c r="D607" s="11">
        <v>102.5316</v>
      </c>
      <c r="E607" s="11">
        <v>2675.75</v>
      </c>
      <c r="F607" s="11">
        <v>862.23</v>
      </c>
      <c r="G607" s="11">
        <v>74.357299999999995</v>
      </c>
      <c r="H607" s="11">
        <v>83.864199999999997</v>
      </c>
      <c r="I607" s="11">
        <v>3.5</v>
      </c>
      <c r="J607" s="11">
        <v>3.5049999999999999</v>
      </c>
      <c r="K607" s="11">
        <v>5.31</v>
      </c>
      <c r="L607" s="11">
        <v>3.5190000000000001</v>
      </c>
    </row>
    <row r="608" spans="1:12" x14ac:dyDescent="0.3">
      <c r="A608" s="2">
        <v>45407</v>
      </c>
      <c r="B608" s="11">
        <v>5048.42</v>
      </c>
      <c r="C608" s="11">
        <v>15611.76</v>
      </c>
      <c r="D608" s="11">
        <v>102.2145</v>
      </c>
      <c r="E608" s="11">
        <v>2628.62</v>
      </c>
      <c r="F608" s="11">
        <v>853.26</v>
      </c>
      <c r="G608" s="11">
        <v>74.302400000000006</v>
      </c>
      <c r="H608" s="11">
        <v>83.543700000000001</v>
      </c>
      <c r="I608" s="11">
        <v>3.5</v>
      </c>
      <c r="J608" s="11">
        <v>3.5659999999999998</v>
      </c>
      <c r="K608" s="11">
        <v>5.31</v>
      </c>
      <c r="L608" s="11">
        <v>3.5619999999999998</v>
      </c>
    </row>
    <row r="609" spans="1:12" x14ac:dyDescent="0.3">
      <c r="A609" s="2">
        <v>45408</v>
      </c>
      <c r="B609" s="11">
        <v>5099.96</v>
      </c>
      <c r="C609" s="11">
        <v>15927.9</v>
      </c>
      <c r="D609" s="11">
        <v>103.1657</v>
      </c>
      <c r="E609" s="11">
        <v>2656.33</v>
      </c>
      <c r="F609" s="11">
        <v>856.82</v>
      </c>
      <c r="G609" s="11">
        <v>74.320700000000002</v>
      </c>
      <c r="H609" s="11">
        <v>83.772599999999997</v>
      </c>
      <c r="I609" s="11">
        <v>3.5</v>
      </c>
      <c r="J609" s="11">
        <v>3.6080000000000001</v>
      </c>
      <c r="K609" s="11">
        <v>5.32</v>
      </c>
      <c r="L609" s="11">
        <v>3.581</v>
      </c>
    </row>
    <row r="610" spans="1:12" x14ac:dyDescent="0.3">
      <c r="A610" s="2">
        <v>45411</v>
      </c>
      <c r="B610" s="11">
        <v>5116.17</v>
      </c>
      <c r="C610" s="11">
        <v>15983.08</v>
      </c>
      <c r="D610" s="11">
        <v>103.6172</v>
      </c>
      <c r="E610" s="11">
        <v>2687.44</v>
      </c>
      <c r="F610" s="11">
        <v>869.72</v>
      </c>
      <c r="G610" s="11">
        <v>74.357299999999995</v>
      </c>
      <c r="H610" s="11">
        <v>84.111400000000003</v>
      </c>
      <c r="I610" s="11">
        <v>3.5</v>
      </c>
      <c r="J610" s="11">
        <v>3.593</v>
      </c>
      <c r="K610" s="11">
        <v>5.32</v>
      </c>
      <c r="L610" s="11">
        <v>3.573</v>
      </c>
    </row>
    <row r="611" spans="1:12" x14ac:dyDescent="0.3">
      <c r="A611" s="2">
        <v>45412</v>
      </c>
      <c r="B611" s="11">
        <v>5035.6899999999996</v>
      </c>
      <c r="C611" s="11">
        <v>15657.82</v>
      </c>
      <c r="D611" s="11">
        <v>102.05119999999999</v>
      </c>
      <c r="E611" s="11">
        <v>2692.06</v>
      </c>
      <c r="F611" s="11">
        <v>868.93</v>
      </c>
      <c r="G611" s="11">
        <v>74.265799999999999</v>
      </c>
      <c r="H611" s="11">
        <v>83.717600000000004</v>
      </c>
      <c r="I611" s="11">
        <v>3.5</v>
      </c>
      <c r="J611" s="11">
        <v>3.6549999999999998</v>
      </c>
      <c r="K611" s="11">
        <v>5.34</v>
      </c>
      <c r="L611" s="11">
        <v>3.6549999999999998</v>
      </c>
    </row>
    <row r="612" spans="1:12" x14ac:dyDescent="0.3">
      <c r="A612" s="2">
        <v>45413</v>
      </c>
      <c r="B612" s="11">
        <v>5018.3900000000003</v>
      </c>
      <c r="C612" s="11">
        <v>15605.48</v>
      </c>
      <c r="D612" s="11">
        <v>101.7822</v>
      </c>
      <c r="E612" s="11">
        <v>2692.06</v>
      </c>
      <c r="F612" s="11">
        <v>868.93</v>
      </c>
      <c r="G612" s="11">
        <v>74.414199999999994</v>
      </c>
      <c r="H612" s="11">
        <v>84.049000000000007</v>
      </c>
      <c r="I612" s="11">
        <v>3.5</v>
      </c>
      <c r="J612" s="11">
        <v>3.6549999999999998</v>
      </c>
      <c r="K612" s="11">
        <v>5.32</v>
      </c>
      <c r="L612" s="11">
        <v>3.5</v>
      </c>
    </row>
    <row r="613" spans="1:12" x14ac:dyDescent="0.3">
      <c r="A613" s="2">
        <v>45414</v>
      </c>
      <c r="B613" s="11">
        <v>5064.2</v>
      </c>
      <c r="C613" s="11">
        <v>15840.96</v>
      </c>
      <c r="D613" s="11">
        <v>103.0504</v>
      </c>
      <c r="E613" s="11">
        <v>2683.65</v>
      </c>
      <c r="F613" s="11">
        <v>867.48</v>
      </c>
      <c r="G613" s="11">
        <v>74.5244</v>
      </c>
      <c r="H613" s="11">
        <v>84.443899999999999</v>
      </c>
      <c r="I613" s="11">
        <v>3.5</v>
      </c>
      <c r="J613" s="11">
        <v>3.5230000000000001</v>
      </c>
      <c r="K613" s="11">
        <v>5.31</v>
      </c>
      <c r="L613" s="11">
        <v>3.4889999999999999</v>
      </c>
    </row>
    <row r="614" spans="1:12" x14ac:dyDescent="0.3">
      <c r="A614" s="2">
        <v>45415</v>
      </c>
      <c r="B614" s="11">
        <v>5127.79</v>
      </c>
      <c r="C614" s="11">
        <v>16156.33</v>
      </c>
      <c r="D614" s="11">
        <v>104.17449999999999</v>
      </c>
      <c r="E614" s="11">
        <v>2676.63</v>
      </c>
      <c r="F614" s="11">
        <v>865.59</v>
      </c>
      <c r="G614" s="11">
        <v>74.643699999999995</v>
      </c>
      <c r="H614" s="11">
        <v>84.912300000000002</v>
      </c>
      <c r="I614" s="11">
        <v>3.5</v>
      </c>
      <c r="J614" s="11">
        <v>3.3410000000000002</v>
      </c>
      <c r="K614" s="11">
        <v>5.31</v>
      </c>
      <c r="L614" s="11">
        <v>3.4750000000000001</v>
      </c>
    </row>
    <row r="615" spans="1:12" x14ac:dyDescent="0.3">
      <c r="A615" s="2">
        <v>45418</v>
      </c>
      <c r="B615" s="11">
        <v>5180.74</v>
      </c>
      <c r="C615" s="11">
        <v>16349.25</v>
      </c>
      <c r="D615" s="11">
        <v>105.116</v>
      </c>
      <c r="E615" s="11">
        <v>2676.63</v>
      </c>
      <c r="F615" s="11">
        <v>865.59</v>
      </c>
      <c r="G615" s="11">
        <v>74.634600000000006</v>
      </c>
      <c r="H615" s="11">
        <v>84.985699999999994</v>
      </c>
      <c r="I615" s="11">
        <v>3.5</v>
      </c>
      <c r="J615" s="11">
        <v>3.3410000000000002</v>
      </c>
      <c r="K615" s="11">
        <v>5.31</v>
      </c>
      <c r="L615" s="11">
        <v>3.5</v>
      </c>
    </row>
    <row r="616" spans="1:12" x14ac:dyDescent="0.3">
      <c r="A616" s="2">
        <v>45419</v>
      </c>
      <c r="B616" s="11">
        <v>5187.7</v>
      </c>
      <c r="C616" s="11">
        <v>16332.56</v>
      </c>
      <c r="D616" s="11">
        <v>105.1448</v>
      </c>
      <c r="E616" s="11">
        <v>2734.36</v>
      </c>
      <c r="F616" s="11">
        <v>871.26</v>
      </c>
      <c r="G616" s="11">
        <v>74.643699999999995</v>
      </c>
      <c r="H616" s="11">
        <v>85.206199999999995</v>
      </c>
      <c r="I616" s="11">
        <v>3.5</v>
      </c>
      <c r="J616" s="11">
        <v>3.5459999999999998</v>
      </c>
      <c r="K616" s="11">
        <v>5.31</v>
      </c>
      <c r="L616" s="11">
        <v>3.5</v>
      </c>
    </row>
    <row r="617" spans="1:12" x14ac:dyDescent="0.3">
      <c r="A617" s="2">
        <v>45420</v>
      </c>
      <c r="B617" s="11">
        <v>5187.67</v>
      </c>
      <c r="C617" s="11">
        <v>16302.76</v>
      </c>
      <c r="D617" s="11">
        <v>105.0872</v>
      </c>
      <c r="E617" s="11">
        <v>2745.05</v>
      </c>
      <c r="F617" s="11">
        <v>872.42</v>
      </c>
      <c r="G617" s="11">
        <v>74.625399999999999</v>
      </c>
      <c r="H617" s="11">
        <v>84.967399999999998</v>
      </c>
      <c r="I617" s="11">
        <v>3.5</v>
      </c>
      <c r="J617" s="11">
        <v>3.5459999999999998</v>
      </c>
      <c r="K617" s="11">
        <v>5.31</v>
      </c>
      <c r="L617" s="11">
        <v>3.4849999999999999</v>
      </c>
    </row>
    <row r="618" spans="1:12" x14ac:dyDescent="0.3">
      <c r="A618" s="2">
        <v>45421</v>
      </c>
      <c r="B618" s="11">
        <v>5214.08</v>
      </c>
      <c r="C618" s="11">
        <v>16346.26</v>
      </c>
      <c r="D618" s="11">
        <v>105.7213</v>
      </c>
      <c r="E618" s="11">
        <v>2712.14</v>
      </c>
      <c r="F618" s="11">
        <v>870.15</v>
      </c>
      <c r="G618" s="11">
        <v>74.689599999999999</v>
      </c>
      <c r="H618" s="11">
        <v>85.224500000000006</v>
      </c>
      <c r="I618" s="11">
        <v>3.5</v>
      </c>
      <c r="J618" s="11">
        <v>3.4580000000000002</v>
      </c>
      <c r="K618" s="11">
        <v>5.31</v>
      </c>
      <c r="L618" s="11">
        <v>3.5</v>
      </c>
    </row>
    <row r="619" spans="1:12" x14ac:dyDescent="0.3">
      <c r="A619" s="2">
        <v>45422</v>
      </c>
      <c r="B619" s="11">
        <v>5222.68</v>
      </c>
      <c r="C619" s="11">
        <v>16340.87</v>
      </c>
      <c r="D619" s="11">
        <v>105.8558</v>
      </c>
      <c r="E619" s="11">
        <v>2727.63</v>
      </c>
      <c r="F619" s="11">
        <v>864.16</v>
      </c>
      <c r="G619" s="11">
        <v>74.625399999999999</v>
      </c>
      <c r="H619" s="11">
        <v>84.948999999999998</v>
      </c>
      <c r="I619" s="11">
        <v>3.5</v>
      </c>
      <c r="J619" s="11">
        <v>3.5529999999999999</v>
      </c>
      <c r="K619" s="11">
        <v>5.31</v>
      </c>
      <c r="L619" s="11">
        <v>3.5459999999999998</v>
      </c>
    </row>
    <row r="620" spans="1:12" x14ac:dyDescent="0.3">
      <c r="A620" s="2">
        <v>45425</v>
      </c>
      <c r="B620" s="11">
        <v>5221.42</v>
      </c>
      <c r="C620" s="11">
        <v>16388.240000000002</v>
      </c>
      <c r="D620" s="11">
        <v>105.923</v>
      </c>
      <c r="E620" s="11">
        <v>2727.21</v>
      </c>
      <c r="F620" s="11">
        <v>854.43</v>
      </c>
      <c r="G620" s="11">
        <v>74.643699999999995</v>
      </c>
      <c r="H620" s="11">
        <v>85.05</v>
      </c>
      <c r="I620" s="11">
        <v>3.5</v>
      </c>
      <c r="J620" s="11">
        <v>3.59</v>
      </c>
      <c r="K620" s="11">
        <v>5.31</v>
      </c>
      <c r="L620" s="11">
        <v>3.5739999999999998</v>
      </c>
    </row>
    <row r="621" spans="1:12" x14ac:dyDescent="0.3">
      <c r="A621" s="2">
        <v>45426</v>
      </c>
      <c r="B621" s="11">
        <v>5246.68</v>
      </c>
      <c r="C621" s="11">
        <v>16511.18</v>
      </c>
      <c r="D621" s="11">
        <v>106.5091</v>
      </c>
      <c r="E621" s="11">
        <v>2730.34</v>
      </c>
      <c r="F621" s="11">
        <v>862.15</v>
      </c>
      <c r="G621" s="11">
        <v>74.717200000000005</v>
      </c>
      <c r="H621" s="11">
        <v>85.298000000000002</v>
      </c>
      <c r="I621" s="11">
        <v>3.5</v>
      </c>
      <c r="J621" s="11">
        <v>3.5870000000000002</v>
      </c>
      <c r="K621" s="11">
        <v>5.31</v>
      </c>
      <c r="L621" s="11">
        <v>3.5630000000000002</v>
      </c>
    </row>
    <row r="622" spans="1:12" x14ac:dyDescent="0.3">
      <c r="A622" s="2">
        <v>45427</v>
      </c>
      <c r="B622" s="11">
        <v>5308.15</v>
      </c>
      <c r="C622" s="11">
        <v>16742.39</v>
      </c>
      <c r="D622" s="11">
        <v>107.72929999999999</v>
      </c>
      <c r="E622" s="11">
        <v>2730.34</v>
      </c>
      <c r="F622" s="11">
        <v>862.15</v>
      </c>
      <c r="G622" s="11">
        <v>74.854900000000001</v>
      </c>
      <c r="H622" s="11">
        <v>85.940799999999996</v>
      </c>
      <c r="I622" s="11">
        <v>3.5</v>
      </c>
      <c r="J622" s="11">
        <v>3.5870000000000002</v>
      </c>
      <c r="K622" s="11">
        <v>5.31</v>
      </c>
      <c r="L622" s="11">
        <v>3.5</v>
      </c>
    </row>
    <row r="623" spans="1:12" x14ac:dyDescent="0.3">
      <c r="A623" s="2">
        <v>45428</v>
      </c>
      <c r="B623" s="11">
        <v>5297.1</v>
      </c>
      <c r="C623" s="11">
        <v>16698.32</v>
      </c>
      <c r="D623" s="11">
        <v>107.50830000000001</v>
      </c>
      <c r="E623" s="11">
        <v>2753</v>
      </c>
      <c r="F623" s="11">
        <v>870.37</v>
      </c>
      <c r="G623" s="11">
        <v>74.799800000000005</v>
      </c>
      <c r="H623" s="11">
        <v>85.775499999999994</v>
      </c>
      <c r="I623" s="11">
        <v>3.5</v>
      </c>
      <c r="J623" s="11">
        <v>3.5459999999999998</v>
      </c>
      <c r="K623" s="11">
        <v>5.31</v>
      </c>
      <c r="L623" s="11">
        <v>3.5419999999999998</v>
      </c>
    </row>
    <row r="624" spans="1:12" x14ac:dyDescent="0.3">
      <c r="A624" s="2">
        <v>45429</v>
      </c>
      <c r="B624" s="11">
        <v>5303.27</v>
      </c>
      <c r="C624" s="11">
        <v>16685.97</v>
      </c>
      <c r="D624" s="11">
        <v>107.7581</v>
      </c>
      <c r="E624" s="11">
        <v>2724.62</v>
      </c>
      <c r="F624" s="11">
        <v>855.06</v>
      </c>
      <c r="G624" s="11">
        <v>74.753900000000002</v>
      </c>
      <c r="H624" s="11">
        <v>85.509200000000007</v>
      </c>
      <c r="I624" s="11">
        <v>3.5</v>
      </c>
      <c r="J624" s="11">
        <v>3.548</v>
      </c>
      <c r="K624" s="11">
        <v>5.31</v>
      </c>
      <c r="L624" s="11">
        <v>3.5339999999999998</v>
      </c>
    </row>
    <row r="625" spans="1:12" x14ac:dyDescent="0.3">
      <c r="A625" s="2">
        <v>45432</v>
      </c>
      <c r="B625" s="11">
        <v>5308.13</v>
      </c>
      <c r="C625" s="11">
        <v>16794.88</v>
      </c>
      <c r="D625" s="11">
        <v>107.8253</v>
      </c>
      <c r="E625" s="11">
        <v>2742.14</v>
      </c>
      <c r="F625" s="11">
        <v>847.08</v>
      </c>
      <c r="G625" s="11">
        <v>74.735500000000002</v>
      </c>
      <c r="H625" s="11">
        <v>85.380600000000001</v>
      </c>
      <c r="I625" s="11">
        <v>3.5</v>
      </c>
      <c r="J625" s="11">
        <v>3.5489999999999999</v>
      </c>
      <c r="K625" s="11">
        <v>5.31</v>
      </c>
      <c r="L625" s="11">
        <v>3.5390000000000001</v>
      </c>
    </row>
    <row r="626" spans="1:12" x14ac:dyDescent="0.3">
      <c r="A626" s="2">
        <v>45433</v>
      </c>
      <c r="B626" s="11">
        <v>5321.41</v>
      </c>
      <c r="C626" s="11">
        <v>16832.63</v>
      </c>
      <c r="D626" s="11">
        <v>107.8445</v>
      </c>
      <c r="E626" s="11">
        <v>2724.18</v>
      </c>
      <c r="F626" s="11">
        <v>846.51</v>
      </c>
      <c r="G626" s="11">
        <v>74.772300000000001</v>
      </c>
      <c r="H626" s="11">
        <v>85.601100000000002</v>
      </c>
      <c r="I626" s="11">
        <v>3.5</v>
      </c>
      <c r="J626" s="11">
        <v>3.5390000000000001</v>
      </c>
      <c r="K626" s="11">
        <v>5.31</v>
      </c>
      <c r="L626" s="11">
        <v>3.5310000000000001</v>
      </c>
    </row>
    <row r="627" spans="1:12" x14ac:dyDescent="0.3">
      <c r="A627" s="2">
        <v>45434</v>
      </c>
      <c r="B627" s="11">
        <v>5307.01</v>
      </c>
      <c r="C627" s="11">
        <v>16801.54</v>
      </c>
      <c r="D627" s="11">
        <v>107.3353</v>
      </c>
      <c r="E627" s="11">
        <v>2723.46</v>
      </c>
      <c r="F627" s="11">
        <v>845.72</v>
      </c>
      <c r="G627" s="11">
        <v>74.717200000000005</v>
      </c>
      <c r="H627" s="11">
        <v>85.490799999999993</v>
      </c>
      <c r="I627" s="11">
        <v>3.5</v>
      </c>
      <c r="J627" s="11">
        <v>3.5230000000000001</v>
      </c>
      <c r="K627" s="11">
        <v>5.31</v>
      </c>
      <c r="L627" s="11">
        <v>3.5310000000000001</v>
      </c>
    </row>
    <row r="628" spans="1:12" x14ac:dyDescent="0.3">
      <c r="A628" s="2">
        <v>45435</v>
      </c>
      <c r="B628" s="11">
        <v>5267.84</v>
      </c>
      <c r="C628" s="11">
        <v>16736.03</v>
      </c>
      <c r="D628" s="11">
        <v>106.62439999999999</v>
      </c>
      <c r="E628" s="11">
        <v>2721.81</v>
      </c>
      <c r="F628" s="11">
        <v>846.58</v>
      </c>
      <c r="G628" s="11">
        <v>74.680499999999995</v>
      </c>
      <c r="H628" s="11">
        <v>85.187799999999996</v>
      </c>
      <c r="I628" s="11">
        <v>3.5</v>
      </c>
      <c r="J628" s="11">
        <v>3.55</v>
      </c>
      <c r="K628" s="11">
        <v>5.31</v>
      </c>
      <c r="L628" s="11">
        <v>3.556</v>
      </c>
    </row>
    <row r="629" spans="1:12" x14ac:dyDescent="0.3">
      <c r="A629" s="2">
        <v>45436</v>
      </c>
      <c r="B629" s="11">
        <v>5304.72</v>
      </c>
      <c r="C629" s="11">
        <v>16920.79</v>
      </c>
      <c r="D629" s="11">
        <v>107.31610000000001</v>
      </c>
      <c r="E629" s="11">
        <v>2687.6</v>
      </c>
      <c r="F629" s="11">
        <v>839.41</v>
      </c>
      <c r="G629" s="11">
        <v>74.707999999999998</v>
      </c>
      <c r="H629" s="11">
        <v>85.298000000000002</v>
      </c>
      <c r="I629" s="11">
        <v>3.5</v>
      </c>
      <c r="J629" s="11">
        <v>3.5760000000000001</v>
      </c>
      <c r="K629" s="11">
        <v>5.32</v>
      </c>
      <c r="L629" s="11">
        <v>3.5649999999999999</v>
      </c>
    </row>
    <row r="630" spans="1:12" x14ac:dyDescent="0.3">
      <c r="A630" s="2">
        <v>45439</v>
      </c>
      <c r="B630" s="11">
        <v>5304.72</v>
      </c>
      <c r="C630" s="11">
        <v>16920.79</v>
      </c>
      <c r="D630" s="11">
        <v>107.31610000000001</v>
      </c>
      <c r="E630" s="11">
        <v>2722.99</v>
      </c>
      <c r="F630" s="11">
        <v>847.99</v>
      </c>
      <c r="G630" s="11">
        <v>74.707999999999998</v>
      </c>
      <c r="H630" s="11">
        <v>85.298000000000002</v>
      </c>
      <c r="I630" s="11">
        <v>3.5</v>
      </c>
      <c r="J630" s="11">
        <v>3.5670000000000002</v>
      </c>
      <c r="K630" s="11">
        <v>5.32</v>
      </c>
      <c r="L630" s="11">
        <v>3.5550000000000002</v>
      </c>
    </row>
    <row r="631" spans="1:12" x14ac:dyDescent="0.3">
      <c r="A631" s="2">
        <v>45440</v>
      </c>
      <c r="B631" s="11">
        <v>5306.04</v>
      </c>
      <c r="C631" s="11">
        <v>17019.88</v>
      </c>
      <c r="D631" s="11">
        <v>107.345</v>
      </c>
      <c r="E631" s="11">
        <v>2722.85</v>
      </c>
      <c r="F631" s="11">
        <v>851.01</v>
      </c>
      <c r="G631" s="11">
        <v>74.643699999999995</v>
      </c>
      <c r="H631" s="11">
        <v>84.820400000000006</v>
      </c>
      <c r="I631" s="11">
        <v>3.5</v>
      </c>
      <c r="J631" s="11">
        <v>3.5219999999999998</v>
      </c>
      <c r="K631" s="11">
        <v>5.32</v>
      </c>
      <c r="L631" s="11">
        <v>3.52</v>
      </c>
    </row>
    <row r="632" spans="1:12" x14ac:dyDescent="0.3">
      <c r="A632" s="2">
        <v>45441</v>
      </c>
      <c r="B632" s="11">
        <v>5266.95</v>
      </c>
      <c r="C632" s="11">
        <v>16920.580000000002</v>
      </c>
      <c r="D632" s="11">
        <v>106.2593</v>
      </c>
      <c r="E632" s="11">
        <v>2677.3</v>
      </c>
      <c r="F632" s="11">
        <v>838.45</v>
      </c>
      <c r="G632" s="11">
        <v>74.616200000000006</v>
      </c>
      <c r="H632" s="11">
        <v>84.407200000000003</v>
      </c>
      <c r="I632" s="11">
        <v>3.5</v>
      </c>
      <c r="J632" s="11">
        <v>3.5209999999999999</v>
      </c>
      <c r="K632" s="11">
        <v>5.33</v>
      </c>
      <c r="L632" s="11">
        <v>3.5230000000000001</v>
      </c>
    </row>
    <row r="633" spans="1:12" x14ac:dyDescent="0.3">
      <c r="A633" s="2">
        <v>45442</v>
      </c>
      <c r="B633" s="11">
        <v>5235.4799999999996</v>
      </c>
      <c r="C633" s="11">
        <v>16737.080000000002</v>
      </c>
      <c r="D633" s="11">
        <v>105.9903</v>
      </c>
      <c r="E633" s="11">
        <v>2635.44</v>
      </c>
      <c r="F633" s="11">
        <v>831.99</v>
      </c>
      <c r="G633" s="11">
        <v>74.698800000000006</v>
      </c>
      <c r="H633" s="11">
        <v>84.829599999999999</v>
      </c>
      <c r="I633" s="11">
        <v>3.5</v>
      </c>
      <c r="J633" s="11">
        <v>3.5219999999999998</v>
      </c>
      <c r="K633" s="11">
        <v>5.33</v>
      </c>
      <c r="L633" s="11">
        <v>3.528</v>
      </c>
    </row>
    <row r="634" spans="1:12" x14ac:dyDescent="0.3">
      <c r="A634" s="2">
        <v>45443</v>
      </c>
      <c r="B634" s="11">
        <v>5277.51</v>
      </c>
      <c r="C634" s="11">
        <v>16735.02</v>
      </c>
      <c r="D634" s="11">
        <v>106.7205</v>
      </c>
      <c r="E634" s="11">
        <v>2636.52</v>
      </c>
      <c r="F634" s="11">
        <v>839.98</v>
      </c>
      <c r="G634" s="11">
        <v>74.799800000000005</v>
      </c>
      <c r="H634" s="11">
        <v>85.224500000000006</v>
      </c>
      <c r="I634" s="11">
        <v>3.5</v>
      </c>
      <c r="J634" s="11">
        <v>3.585</v>
      </c>
      <c r="K634" s="11">
        <v>5.34</v>
      </c>
      <c r="L634" s="11">
        <v>3.58</v>
      </c>
    </row>
    <row r="635" spans="1:12" x14ac:dyDescent="0.3">
      <c r="A635" s="2">
        <v>45446</v>
      </c>
      <c r="B635" s="11">
        <v>5283.4</v>
      </c>
      <c r="C635" s="11">
        <v>16828.669999999998</v>
      </c>
      <c r="D635" s="11">
        <v>106.9318</v>
      </c>
      <c r="E635" s="11">
        <v>2682.52</v>
      </c>
      <c r="F635" s="11">
        <v>844.72</v>
      </c>
      <c r="G635" s="11">
        <v>74.884600000000006</v>
      </c>
      <c r="H635" s="11">
        <v>85.783100000000005</v>
      </c>
      <c r="I635" s="11">
        <v>3.5</v>
      </c>
      <c r="J635" s="11">
        <v>3.5649999999999999</v>
      </c>
      <c r="K635" s="11">
        <v>5.35</v>
      </c>
      <c r="L635" s="11">
        <v>3.5390000000000001</v>
      </c>
    </row>
    <row r="636" spans="1:12" x14ac:dyDescent="0.3">
      <c r="A636" s="2">
        <v>45447</v>
      </c>
      <c r="B636" s="11">
        <v>5291.34</v>
      </c>
      <c r="C636" s="11">
        <v>16857.05</v>
      </c>
      <c r="D636" s="11">
        <v>106.7877</v>
      </c>
      <c r="E636" s="11">
        <v>2662.1</v>
      </c>
      <c r="F636" s="11">
        <v>845.84</v>
      </c>
      <c r="G636" s="11">
        <v>74.958299999999994</v>
      </c>
      <c r="H636" s="11">
        <v>86.252899999999997</v>
      </c>
      <c r="I636" s="11">
        <v>3.5</v>
      </c>
      <c r="J636" s="11">
        <v>3.53</v>
      </c>
      <c r="K636" s="11">
        <v>5.33</v>
      </c>
      <c r="L636" s="11">
        <v>3.4830000000000001</v>
      </c>
    </row>
    <row r="637" spans="1:12" x14ac:dyDescent="0.3">
      <c r="A637" s="2">
        <v>45448</v>
      </c>
      <c r="B637" s="11">
        <v>5354.03</v>
      </c>
      <c r="C637" s="11">
        <v>17187.900000000001</v>
      </c>
      <c r="D637" s="11">
        <v>108.0175</v>
      </c>
      <c r="E637" s="11">
        <v>2689.5</v>
      </c>
      <c r="F637" s="11">
        <v>850.75</v>
      </c>
      <c r="G637" s="11">
        <v>75.031999999999996</v>
      </c>
      <c r="H637" s="11">
        <v>86.566100000000006</v>
      </c>
      <c r="I637" s="11">
        <v>3.5</v>
      </c>
      <c r="J637" s="11">
        <v>3.5289999999999999</v>
      </c>
      <c r="K637" s="11">
        <v>5.33</v>
      </c>
      <c r="L637" s="11">
        <v>3.5019999999999998</v>
      </c>
    </row>
    <row r="638" spans="1:12" x14ac:dyDescent="0.3">
      <c r="A638" s="2">
        <v>45449</v>
      </c>
      <c r="B638" s="11">
        <v>5352.96</v>
      </c>
      <c r="C638" s="11">
        <v>17173.12</v>
      </c>
      <c r="D638" s="11">
        <v>108.1232</v>
      </c>
      <c r="E638" s="11">
        <v>2689.5</v>
      </c>
      <c r="F638" s="11">
        <v>850.75</v>
      </c>
      <c r="G638" s="11">
        <v>75.041200000000003</v>
      </c>
      <c r="H638" s="11">
        <v>86.529200000000003</v>
      </c>
      <c r="I638" s="11">
        <v>3.5</v>
      </c>
      <c r="J638" s="11">
        <v>3.5289999999999999</v>
      </c>
      <c r="K638" s="11">
        <v>5.33</v>
      </c>
      <c r="L638" s="11">
        <v>3.5</v>
      </c>
    </row>
    <row r="639" spans="1:12" x14ac:dyDescent="0.3">
      <c r="A639" s="2">
        <v>45450</v>
      </c>
      <c r="B639" s="11">
        <v>5346.99</v>
      </c>
      <c r="C639" s="11">
        <v>17133.13</v>
      </c>
      <c r="D639" s="11">
        <v>107.5851</v>
      </c>
      <c r="E639" s="11">
        <v>2722.67</v>
      </c>
      <c r="F639" s="11">
        <v>866.18</v>
      </c>
      <c r="G639" s="11">
        <v>74.847800000000007</v>
      </c>
      <c r="H639" s="11">
        <v>85.6173</v>
      </c>
      <c r="I639" s="11">
        <v>3.5</v>
      </c>
      <c r="J639" s="11">
        <v>3.601</v>
      </c>
      <c r="K639" s="11">
        <v>5.33</v>
      </c>
      <c r="L639" s="11">
        <v>3.5870000000000002</v>
      </c>
    </row>
    <row r="640" spans="1:12" x14ac:dyDescent="0.3">
      <c r="A640" s="2">
        <v>45453</v>
      </c>
      <c r="B640" s="11">
        <v>5360.79</v>
      </c>
      <c r="C640" s="11">
        <v>17192.53</v>
      </c>
      <c r="D640" s="11">
        <v>107.90219999999999</v>
      </c>
      <c r="E640" s="11">
        <v>2701.17</v>
      </c>
      <c r="F640" s="11">
        <v>864.71</v>
      </c>
      <c r="G640" s="11">
        <v>74.856999999999999</v>
      </c>
      <c r="H640" s="11">
        <v>85.433099999999996</v>
      </c>
      <c r="I640" s="11">
        <v>3.5</v>
      </c>
      <c r="J640" s="11">
        <v>3.6040000000000001</v>
      </c>
      <c r="K640" s="11">
        <v>5.32</v>
      </c>
      <c r="L640" s="11">
        <v>3.5990000000000002</v>
      </c>
    </row>
    <row r="641" spans="1:12" x14ac:dyDescent="0.3">
      <c r="A641" s="2">
        <v>45454</v>
      </c>
      <c r="B641" s="11">
        <v>5375.32</v>
      </c>
      <c r="C641" s="11">
        <v>17343.55</v>
      </c>
      <c r="D641" s="11">
        <v>107.6846</v>
      </c>
      <c r="E641" s="11">
        <v>2705.32</v>
      </c>
      <c r="F641" s="11">
        <v>868.36</v>
      </c>
      <c r="G641" s="11">
        <v>74.939899999999994</v>
      </c>
      <c r="H641" s="11">
        <v>85.884500000000003</v>
      </c>
      <c r="I641" s="11">
        <v>3.5</v>
      </c>
      <c r="J641" s="11">
        <v>3.601</v>
      </c>
      <c r="K641" s="11">
        <v>5.32</v>
      </c>
      <c r="L641" s="11">
        <v>3.5910000000000002</v>
      </c>
    </row>
    <row r="642" spans="1:12" x14ac:dyDescent="0.3">
      <c r="A642" s="2">
        <v>45455</v>
      </c>
      <c r="B642" s="11">
        <v>5421.03</v>
      </c>
      <c r="C642" s="11">
        <v>17608.439999999999</v>
      </c>
      <c r="D642" s="11">
        <v>108.7213</v>
      </c>
      <c r="E642" s="11">
        <v>2728.17</v>
      </c>
      <c r="F642" s="11">
        <v>870.67</v>
      </c>
      <c r="G642" s="11">
        <v>75.041200000000003</v>
      </c>
      <c r="H642" s="11">
        <v>86.363399999999999</v>
      </c>
      <c r="I642" s="11">
        <v>3.5</v>
      </c>
      <c r="J642" s="11">
        <v>3.5659999999999998</v>
      </c>
      <c r="K642" s="11">
        <v>5.31</v>
      </c>
      <c r="L642" s="11">
        <v>3.556</v>
      </c>
    </row>
    <row r="643" spans="1:12" x14ac:dyDescent="0.3">
      <c r="A643" s="2">
        <v>45456</v>
      </c>
      <c r="B643" s="11">
        <v>5433.74</v>
      </c>
      <c r="C643" s="11">
        <v>17667.560000000001</v>
      </c>
      <c r="D643" s="11">
        <v>108.3822</v>
      </c>
      <c r="E643" s="11">
        <v>2754.89</v>
      </c>
      <c r="F643" s="11">
        <v>871.33</v>
      </c>
      <c r="G643" s="11">
        <v>75.161000000000001</v>
      </c>
      <c r="H643" s="11">
        <v>86.9345</v>
      </c>
      <c r="I643" s="11">
        <v>3.5</v>
      </c>
      <c r="J643" s="11">
        <v>3.5659999999999998</v>
      </c>
      <c r="K643" s="11">
        <v>5.31</v>
      </c>
      <c r="L643" s="11">
        <v>3.5310000000000001</v>
      </c>
    </row>
    <row r="644" spans="1:12" x14ac:dyDescent="0.3">
      <c r="A644" s="2">
        <v>45457</v>
      </c>
      <c r="B644" s="1">
        <v>5431.6</v>
      </c>
      <c r="C644" s="1">
        <v>17688.88</v>
      </c>
      <c r="D644">
        <v>108.17870000000001</v>
      </c>
      <c r="E644">
        <v>2758.42</v>
      </c>
      <c r="F644">
        <v>862.19</v>
      </c>
      <c r="G644">
        <v>75.170199999999994</v>
      </c>
      <c r="H644">
        <v>87.137200000000007</v>
      </c>
      <c r="I644" s="3">
        <v>3.5</v>
      </c>
      <c r="J644" s="3">
        <v>3.52</v>
      </c>
      <c r="K644" s="3">
        <v>5.31</v>
      </c>
      <c r="L644" s="3">
        <v>3.5030000000000001</v>
      </c>
    </row>
    <row r="645" spans="1:12" x14ac:dyDescent="0.3">
      <c r="A645" s="2">
        <v>45460</v>
      </c>
      <c r="B645" s="1">
        <v>5473.23</v>
      </c>
      <c r="C645" s="1">
        <v>17857.02</v>
      </c>
      <c r="D645">
        <v>108.86660000000001</v>
      </c>
      <c r="E645">
        <v>2744.1</v>
      </c>
      <c r="F645">
        <v>858.96</v>
      </c>
      <c r="G645">
        <v>75.096500000000006</v>
      </c>
      <c r="H645">
        <v>86.731899999999996</v>
      </c>
      <c r="I645" s="3">
        <v>3.5</v>
      </c>
      <c r="J645" s="3">
        <v>3.4940000000000002</v>
      </c>
      <c r="K645" s="3">
        <v>5.33</v>
      </c>
      <c r="L645" s="3">
        <v>3.5030000000000001</v>
      </c>
    </row>
    <row r="646" spans="1:12" x14ac:dyDescent="0.3">
      <c r="A646" s="2">
        <v>45461</v>
      </c>
      <c r="B646" s="1">
        <v>5487.03</v>
      </c>
      <c r="C646" s="1">
        <v>17862.23</v>
      </c>
      <c r="D646">
        <v>109.3122</v>
      </c>
      <c r="E646">
        <v>2763.92</v>
      </c>
      <c r="F646">
        <v>858.95</v>
      </c>
      <c r="G646">
        <v>75.197800000000001</v>
      </c>
      <c r="H646">
        <v>87.109499999999997</v>
      </c>
      <c r="I646" s="3">
        <v>3.5</v>
      </c>
      <c r="J646" s="3">
        <v>3.492</v>
      </c>
      <c r="K646" s="3">
        <v>5.33</v>
      </c>
      <c r="L646" s="3">
        <v>3.5059999999999998</v>
      </c>
    </row>
    <row r="647" spans="1:12" x14ac:dyDescent="0.3">
      <c r="A647" s="2">
        <v>45462</v>
      </c>
      <c r="B647" s="1">
        <v>5487.03</v>
      </c>
      <c r="C647" s="1">
        <v>17862.23</v>
      </c>
      <c r="D647">
        <v>109.3122</v>
      </c>
      <c r="E647">
        <v>2797.33</v>
      </c>
      <c r="F647">
        <v>861.17</v>
      </c>
      <c r="G647">
        <v>75.197800000000001</v>
      </c>
      <c r="H647">
        <v>87.109499999999997</v>
      </c>
      <c r="I647" s="3">
        <v>3.5</v>
      </c>
      <c r="J647" s="3">
        <v>3.4929999999999999</v>
      </c>
      <c r="K647" s="3">
        <v>5.33</v>
      </c>
      <c r="L647" s="3">
        <v>3.5049999999999999</v>
      </c>
    </row>
    <row r="648" spans="1:12" x14ac:dyDescent="0.3">
      <c r="A648" s="2">
        <v>45463</v>
      </c>
      <c r="B648" s="1">
        <v>5473.17</v>
      </c>
      <c r="C648" s="1">
        <v>17721.59</v>
      </c>
      <c r="D648">
        <v>109.0894</v>
      </c>
      <c r="E648">
        <v>2807.63</v>
      </c>
      <c r="F648">
        <v>857.51</v>
      </c>
      <c r="G648">
        <v>75.170199999999994</v>
      </c>
      <c r="H648">
        <v>86.888499999999993</v>
      </c>
      <c r="I648" s="3">
        <v>3.5</v>
      </c>
      <c r="J648" s="3">
        <v>3.5070000000000001</v>
      </c>
      <c r="K648" s="3">
        <v>5.32</v>
      </c>
      <c r="L648" s="3">
        <v>3.5190000000000001</v>
      </c>
    </row>
    <row r="649" spans="1:12" x14ac:dyDescent="0.3">
      <c r="A649" s="2">
        <v>45464</v>
      </c>
      <c r="B649" s="1">
        <v>5464.62</v>
      </c>
      <c r="C649" s="1">
        <v>17689.36</v>
      </c>
      <c r="D649">
        <v>108.6534</v>
      </c>
      <c r="E649">
        <v>2784.26</v>
      </c>
      <c r="F649">
        <v>852.67</v>
      </c>
      <c r="G649">
        <v>75.197800000000001</v>
      </c>
      <c r="H649">
        <v>86.906899999999993</v>
      </c>
      <c r="I649" s="3">
        <v>3.5</v>
      </c>
      <c r="J649" s="3">
        <v>3.5859999999999999</v>
      </c>
      <c r="K649" s="3">
        <v>5.31</v>
      </c>
      <c r="L649" s="3">
        <v>3.56</v>
      </c>
    </row>
    <row r="650" spans="1:12" x14ac:dyDescent="0.3">
      <c r="A650" s="2">
        <v>45467</v>
      </c>
      <c r="B650" s="1">
        <v>5447.87</v>
      </c>
      <c r="C650" s="1">
        <v>17496.82</v>
      </c>
      <c r="D650">
        <v>108.7503</v>
      </c>
      <c r="E650">
        <v>2764.73</v>
      </c>
      <c r="F650">
        <v>841.52</v>
      </c>
      <c r="G650">
        <v>75.206999999999994</v>
      </c>
      <c r="H650">
        <v>86.980599999999995</v>
      </c>
      <c r="I650" s="3">
        <v>3.5</v>
      </c>
      <c r="J650" s="3">
        <v>3.5670000000000002</v>
      </c>
      <c r="K650" s="3">
        <v>5.31</v>
      </c>
      <c r="L650" s="3">
        <v>3.5539999999999998</v>
      </c>
    </row>
    <row r="651" spans="1:12" x14ac:dyDescent="0.3">
      <c r="A651" s="2">
        <v>45468</v>
      </c>
      <c r="B651" s="1">
        <v>5469.3</v>
      </c>
      <c r="C651" s="1">
        <v>17717.650000000001</v>
      </c>
      <c r="D651">
        <v>109.0797</v>
      </c>
      <c r="E651">
        <v>2774.39</v>
      </c>
      <c r="F651">
        <v>841.99</v>
      </c>
      <c r="G651">
        <v>75.216200000000001</v>
      </c>
      <c r="H651">
        <v>87.054299999999998</v>
      </c>
      <c r="I651" s="3">
        <v>3.5</v>
      </c>
      <c r="J651" s="3">
        <v>3.5859999999999999</v>
      </c>
      <c r="K651" s="3">
        <v>5.33</v>
      </c>
      <c r="L651" s="3">
        <v>3.5750000000000002</v>
      </c>
    </row>
    <row r="652" spans="1:12" x14ac:dyDescent="0.3">
      <c r="A652" s="2">
        <v>45469</v>
      </c>
      <c r="B652" s="1">
        <v>5477.9</v>
      </c>
      <c r="C652" s="1">
        <v>17805.16</v>
      </c>
      <c r="D652">
        <v>108.9538</v>
      </c>
      <c r="E652">
        <v>2792.05</v>
      </c>
      <c r="F652">
        <v>842.12</v>
      </c>
      <c r="G652">
        <v>75.142499999999998</v>
      </c>
      <c r="H652">
        <v>86.529200000000003</v>
      </c>
      <c r="I652" s="3">
        <v>3.5</v>
      </c>
      <c r="J652" s="3">
        <v>3.5649999999999999</v>
      </c>
      <c r="K652" s="3">
        <v>5.34</v>
      </c>
      <c r="L652" s="3">
        <v>3.552</v>
      </c>
    </row>
    <row r="653" spans="1:12" x14ac:dyDescent="0.3">
      <c r="A653" s="2">
        <v>45470</v>
      </c>
      <c r="B653" s="1">
        <v>5482.87</v>
      </c>
      <c r="C653" s="1">
        <v>17858.68</v>
      </c>
      <c r="D653">
        <v>109.1088</v>
      </c>
      <c r="E653">
        <v>2784.06</v>
      </c>
      <c r="F653">
        <v>838.65</v>
      </c>
      <c r="G653">
        <v>75.197800000000001</v>
      </c>
      <c r="H653">
        <v>86.722700000000003</v>
      </c>
      <c r="I653" s="3">
        <v>3.5</v>
      </c>
      <c r="J653" s="3">
        <v>3.5640000000000001</v>
      </c>
      <c r="K653" s="3">
        <v>5.34</v>
      </c>
      <c r="L653" s="3">
        <v>3.56</v>
      </c>
    </row>
    <row r="654" spans="1:12" x14ac:dyDescent="0.3">
      <c r="A654" s="2">
        <v>45471</v>
      </c>
      <c r="B654" s="1">
        <v>5460.48</v>
      </c>
      <c r="C654" s="1">
        <v>17732.599999999999</v>
      </c>
      <c r="D654">
        <v>108.89570000000001</v>
      </c>
      <c r="E654">
        <v>2797.82</v>
      </c>
      <c r="F654">
        <v>840.44</v>
      </c>
      <c r="G654">
        <v>75.206999999999994</v>
      </c>
      <c r="H654">
        <v>86.262100000000004</v>
      </c>
      <c r="I654" s="3">
        <v>3.5</v>
      </c>
      <c r="J654" s="3">
        <v>3.6110000000000002</v>
      </c>
      <c r="K654" s="3">
        <v>5.33</v>
      </c>
      <c r="L654" s="3">
        <v>3.5910000000000002</v>
      </c>
    </row>
    <row r="655" spans="1:12" x14ac:dyDescent="0.3">
      <c r="A655" s="2">
        <v>45474</v>
      </c>
      <c r="B655" s="1">
        <v>5475.09</v>
      </c>
      <c r="C655" s="1">
        <v>17879.3</v>
      </c>
      <c r="D655">
        <v>109.0797</v>
      </c>
      <c r="E655">
        <v>2804.31</v>
      </c>
      <c r="F655">
        <v>847.15</v>
      </c>
      <c r="G655">
        <v>75.142700000000005</v>
      </c>
      <c r="H655">
        <v>85.62</v>
      </c>
      <c r="I655" s="3">
        <v>3.5</v>
      </c>
      <c r="J655" s="3">
        <v>3.48</v>
      </c>
      <c r="K655" s="3">
        <v>5.4</v>
      </c>
      <c r="L655" s="3">
        <v>3.512</v>
      </c>
    </row>
    <row r="656" spans="1:12" x14ac:dyDescent="0.3">
      <c r="A656" s="2">
        <v>45475</v>
      </c>
      <c r="B656" s="1">
        <v>5509.01</v>
      </c>
      <c r="C656" s="1">
        <v>18028.759999999998</v>
      </c>
      <c r="D656">
        <v>109.661</v>
      </c>
      <c r="E656">
        <v>2780.86</v>
      </c>
      <c r="F656">
        <v>829.91</v>
      </c>
      <c r="G656">
        <v>75.207400000000007</v>
      </c>
      <c r="H656">
        <v>85.943399999999997</v>
      </c>
      <c r="I656" s="3">
        <v>3.5</v>
      </c>
      <c r="J656" s="3">
        <v>3.4239999999999999</v>
      </c>
      <c r="K656" s="3">
        <v>5.35</v>
      </c>
      <c r="L656" s="3">
        <v>3.4830000000000001</v>
      </c>
    </row>
    <row r="657" spans="1:12" x14ac:dyDescent="0.3">
      <c r="A657" s="2">
        <v>45476</v>
      </c>
      <c r="B657" s="1">
        <v>5537.02</v>
      </c>
      <c r="C657" s="1">
        <v>18188.3</v>
      </c>
      <c r="D657">
        <v>110.4555</v>
      </c>
      <c r="E657">
        <v>2794.01</v>
      </c>
      <c r="F657">
        <v>836.1</v>
      </c>
      <c r="G657">
        <v>75.318299999999994</v>
      </c>
      <c r="H657">
        <v>86.516300000000001</v>
      </c>
      <c r="I657" s="3">
        <v>3.5</v>
      </c>
      <c r="J657" s="3">
        <v>3.43</v>
      </c>
      <c r="K657" s="3">
        <v>5.33</v>
      </c>
      <c r="L657" s="3">
        <v>3.504</v>
      </c>
    </row>
    <row r="658" spans="1:12" x14ac:dyDescent="0.3">
      <c r="A658" s="2">
        <v>45477</v>
      </c>
      <c r="B658" s="1">
        <v>5537.02</v>
      </c>
      <c r="C658" s="1">
        <v>18188.3</v>
      </c>
      <c r="D658">
        <v>110.4555</v>
      </c>
      <c r="E658">
        <v>2824.94</v>
      </c>
      <c r="F658">
        <v>840.81</v>
      </c>
      <c r="G658">
        <v>75.318299999999994</v>
      </c>
      <c r="H658">
        <v>86.516300000000001</v>
      </c>
      <c r="I658" s="3">
        <v>3.5</v>
      </c>
      <c r="J658" s="3">
        <v>3.47</v>
      </c>
      <c r="K658" s="3">
        <v>5.33</v>
      </c>
      <c r="L658" s="3">
        <v>3.5139999999999998</v>
      </c>
    </row>
    <row r="659" spans="1:12" x14ac:dyDescent="0.3">
      <c r="A659" s="2">
        <v>45478</v>
      </c>
      <c r="B659" s="1">
        <v>5567.19</v>
      </c>
      <c r="C659" s="1">
        <v>18352.759999999998</v>
      </c>
      <c r="D659">
        <v>111.0852</v>
      </c>
      <c r="E659">
        <v>2862.23</v>
      </c>
      <c r="F659">
        <v>847.49</v>
      </c>
      <c r="G659">
        <v>75.456900000000005</v>
      </c>
      <c r="H659">
        <v>86.996700000000004</v>
      </c>
      <c r="I659" s="3">
        <v>3.5</v>
      </c>
      <c r="J659" s="3">
        <v>3.5670000000000002</v>
      </c>
      <c r="K659" s="3">
        <v>5.32</v>
      </c>
      <c r="L659" s="3">
        <v>3.5379999999999998</v>
      </c>
    </row>
    <row r="660" spans="1:12" x14ac:dyDescent="0.3">
      <c r="A660" s="2">
        <v>45481</v>
      </c>
      <c r="B660" s="1">
        <v>5572.85</v>
      </c>
      <c r="C660" s="1">
        <v>18403.740000000002</v>
      </c>
      <c r="D660">
        <v>111.0852</v>
      </c>
      <c r="E660">
        <v>2857.76</v>
      </c>
      <c r="F660">
        <v>859.27</v>
      </c>
      <c r="G660">
        <v>75.447699999999998</v>
      </c>
      <c r="H660">
        <v>87.0244</v>
      </c>
      <c r="I660" s="3">
        <v>3.5</v>
      </c>
      <c r="J660" s="3">
        <v>3.52</v>
      </c>
      <c r="K660" s="3">
        <v>5.32</v>
      </c>
      <c r="L660" s="3">
        <v>3.4980000000000002</v>
      </c>
    </row>
    <row r="661" spans="1:12" x14ac:dyDescent="0.3">
      <c r="A661" s="2">
        <v>45482</v>
      </c>
      <c r="B661" s="1">
        <v>5576.98</v>
      </c>
      <c r="C661" s="1">
        <v>18429.29</v>
      </c>
      <c r="D661">
        <v>111.0561</v>
      </c>
      <c r="E661">
        <v>2867.38</v>
      </c>
      <c r="F661">
        <v>860.42</v>
      </c>
      <c r="G661">
        <v>75.429199999999994</v>
      </c>
      <c r="H661">
        <v>86.904300000000006</v>
      </c>
      <c r="I661" s="3">
        <v>3.5</v>
      </c>
      <c r="J661" s="3">
        <v>3.4889999999999999</v>
      </c>
      <c r="K661" s="3">
        <v>5.34</v>
      </c>
      <c r="L661" s="3">
        <v>3.44</v>
      </c>
    </row>
    <row r="662" spans="1:12" x14ac:dyDescent="0.3">
      <c r="A662" s="2">
        <v>45483</v>
      </c>
      <c r="B662" s="1">
        <v>5633.91</v>
      </c>
      <c r="C662" s="1">
        <v>18647.45</v>
      </c>
      <c r="D662">
        <v>112.1896</v>
      </c>
      <c r="E662">
        <v>2867.99</v>
      </c>
      <c r="F662">
        <v>858.55</v>
      </c>
      <c r="G662">
        <v>75.456900000000005</v>
      </c>
      <c r="H662">
        <v>86.987499999999997</v>
      </c>
      <c r="I662" s="3">
        <v>3.5</v>
      </c>
      <c r="J662" s="3">
        <v>3.488</v>
      </c>
      <c r="K662" s="3">
        <v>5.34</v>
      </c>
      <c r="L662" s="3">
        <v>3.4750000000000001</v>
      </c>
    </row>
    <row r="663" spans="1:12" x14ac:dyDescent="0.3">
      <c r="A663" s="2">
        <v>45484</v>
      </c>
      <c r="B663" s="1">
        <v>5584.54</v>
      </c>
      <c r="C663" s="1">
        <v>18283.41</v>
      </c>
      <c r="D663">
        <v>111.75369999999999</v>
      </c>
      <c r="E663">
        <v>2891.35</v>
      </c>
      <c r="F663">
        <v>852.42</v>
      </c>
      <c r="G663">
        <v>75.632499999999993</v>
      </c>
      <c r="H663">
        <v>87.541799999999995</v>
      </c>
      <c r="I663" s="3">
        <v>3.5</v>
      </c>
      <c r="J663" s="3">
        <v>3.5030000000000001</v>
      </c>
      <c r="K663" s="3">
        <v>5.34</v>
      </c>
      <c r="L663" s="3">
        <v>3.528</v>
      </c>
    </row>
    <row r="664" spans="1:12" x14ac:dyDescent="0.3">
      <c r="A664" s="2">
        <v>45485</v>
      </c>
      <c r="B664" s="1">
        <v>5615.35</v>
      </c>
      <c r="C664" s="1">
        <v>18398.45</v>
      </c>
      <c r="D664">
        <v>112.5675</v>
      </c>
      <c r="E664">
        <v>2857</v>
      </c>
      <c r="F664">
        <v>850.37</v>
      </c>
      <c r="G664">
        <v>75.743399999999994</v>
      </c>
      <c r="H664">
        <v>87.726600000000005</v>
      </c>
      <c r="I664" s="3">
        <v>3.5</v>
      </c>
      <c r="J664" s="3">
        <v>3.52</v>
      </c>
      <c r="K664" s="3">
        <v>5.34</v>
      </c>
      <c r="L664" s="3">
        <v>3.528</v>
      </c>
    </row>
    <row r="665" spans="1:12" x14ac:dyDescent="0.3">
      <c r="A665" s="2">
        <v>45488</v>
      </c>
      <c r="B665" s="1">
        <v>5631.22</v>
      </c>
      <c r="C665" s="1">
        <v>18472.57</v>
      </c>
      <c r="D665">
        <v>112.4512</v>
      </c>
      <c r="E665">
        <v>2860.92</v>
      </c>
      <c r="F665">
        <v>852.88</v>
      </c>
      <c r="G665">
        <v>75.743399999999994</v>
      </c>
      <c r="H665">
        <v>87.449399999999997</v>
      </c>
      <c r="I665" s="3">
        <v>3.5</v>
      </c>
      <c r="J665" s="3">
        <v>3.5009999999999999</v>
      </c>
      <c r="K665" s="3">
        <v>5.34</v>
      </c>
      <c r="L665" s="3">
        <v>3.5089999999999999</v>
      </c>
    </row>
    <row r="666" spans="1:12" x14ac:dyDescent="0.3">
      <c r="A666" s="2">
        <v>45489</v>
      </c>
      <c r="B666" s="1">
        <v>5667.2</v>
      </c>
      <c r="C666" s="1">
        <v>18509.34</v>
      </c>
      <c r="D666">
        <v>113.0519</v>
      </c>
      <c r="E666">
        <v>2866.09</v>
      </c>
      <c r="F666">
        <v>839.61</v>
      </c>
      <c r="G666">
        <v>75.771100000000004</v>
      </c>
      <c r="H666">
        <v>87.837500000000006</v>
      </c>
      <c r="I666" s="3">
        <v>3.5</v>
      </c>
      <c r="J666" s="3">
        <v>3.4260000000000002</v>
      </c>
      <c r="K666" s="3">
        <v>5.35</v>
      </c>
      <c r="L666" s="3">
        <v>3.4830000000000001</v>
      </c>
    </row>
    <row r="667" spans="1:12" x14ac:dyDescent="0.3">
      <c r="A667" s="2">
        <v>45490</v>
      </c>
      <c r="B667" s="1">
        <v>5588.27</v>
      </c>
      <c r="C667" s="1">
        <v>17996.919999999998</v>
      </c>
      <c r="D667">
        <v>111.6277</v>
      </c>
      <c r="E667">
        <v>2843.29</v>
      </c>
      <c r="F667">
        <v>829.41</v>
      </c>
      <c r="G667">
        <v>75.7804</v>
      </c>
      <c r="H667">
        <v>87.9114</v>
      </c>
      <c r="I667" s="3">
        <v>3.5</v>
      </c>
      <c r="J667" s="3">
        <v>3.4729999999999999</v>
      </c>
      <c r="K667" s="3">
        <v>5.35</v>
      </c>
      <c r="L667" s="3">
        <v>3.5169999999999999</v>
      </c>
    </row>
    <row r="668" spans="1:12" x14ac:dyDescent="0.3">
      <c r="A668" s="2">
        <v>45491</v>
      </c>
      <c r="B668" s="1">
        <v>5544.59</v>
      </c>
      <c r="C668" s="1">
        <v>17871.22</v>
      </c>
      <c r="D668">
        <v>110.67829999999999</v>
      </c>
      <c r="E668">
        <v>2824.35</v>
      </c>
      <c r="F668">
        <v>822.48</v>
      </c>
      <c r="G668">
        <v>75.743399999999994</v>
      </c>
      <c r="H668">
        <v>87.661900000000003</v>
      </c>
      <c r="I668" s="3">
        <v>3.5</v>
      </c>
      <c r="J668" s="3">
        <v>3.5190000000000001</v>
      </c>
      <c r="K668" s="3">
        <v>5.34</v>
      </c>
      <c r="L668" s="3">
        <v>3.5230000000000001</v>
      </c>
    </row>
    <row r="669" spans="1:12" x14ac:dyDescent="0.3">
      <c r="A669" s="2">
        <v>45492</v>
      </c>
      <c r="B669" s="1">
        <v>5505</v>
      </c>
      <c r="C669" s="1">
        <v>17726.939999999999</v>
      </c>
      <c r="D669">
        <v>109.9517</v>
      </c>
      <c r="E669">
        <v>2795.46</v>
      </c>
      <c r="F669">
        <v>828.72</v>
      </c>
      <c r="G669">
        <v>75.706500000000005</v>
      </c>
      <c r="H669">
        <v>87.384699999999995</v>
      </c>
      <c r="I669" s="3">
        <v>3.5</v>
      </c>
      <c r="J669" s="3">
        <v>3.5830000000000002</v>
      </c>
      <c r="K669" s="3">
        <v>5.34</v>
      </c>
      <c r="L669" s="3">
        <v>3.5640000000000001</v>
      </c>
    </row>
    <row r="670" spans="1:12" x14ac:dyDescent="0.3">
      <c r="A670" s="2">
        <v>45495</v>
      </c>
      <c r="B670" s="1">
        <v>5564.41</v>
      </c>
      <c r="C670" s="1">
        <v>18007.57</v>
      </c>
      <c r="D670">
        <v>111.0852</v>
      </c>
      <c r="E670">
        <v>2763.51</v>
      </c>
      <c r="F670">
        <v>809.96</v>
      </c>
      <c r="G670">
        <v>75.715699999999998</v>
      </c>
      <c r="H670">
        <v>87.301599999999993</v>
      </c>
      <c r="I670" s="3">
        <v>3.5</v>
      </c>
      <c r="J670" s="3">
        <v>3.496</v>
      </c>
      <c r="K670" s="3">
        <v>5.33</v>
      </c>
      <c r="L670" s="3">
        <v>3.51</v>
      </c>
    </row>
    <row r="671" spans="1:12" x14ac:dyDescent="0.3">
      <c r="A671" s="2">
        <v>45496</v>
      </c>
      <c r="B671" s="1">
        <v>5555.74</v>
      </c>
      <c r="C671" s="1">
        <v>17997.349999999999</v>
      </c>
      <c r="D671">
        <v>110.70740000000001</v>
      </c>
      <c r="E671">
        <v>2774.29</v>
      </c>
      <c r="F671">
        <v>812.12</v>
      </c>
      <c r="G671">
        <v>75.752700000000004</v>
      </c>
      <c r="H671">
        <v>87.366299999999995</v>
      </c>
      <c r="I671" s="3">
        <v>3.5</v>
      </c>
      <c r="J671" s="3">
        <v>3.5649999999999999</v>
      </c>
      <c r="K671" s="3">
        <v>5.34</v>
      </c>
      <c r="L671" s="3">
        <v>3.55</v>
      </c>
    </row>
    <row r="672" spans="1:12" x14ac:dyDescent="0.3">
      <c r="A672" s="2">
        <v>45497</v>
      </c>
      <c r="B672" s="1">
        <v>5427.13</v>
      </c>
      <c r="C672" s="1">
        <v>17342.41</v>
      </c>
      <c r="D672">
        <v>108.5275</v>
      </c>
      <c r="E672">
        <v>2758.71</v>
      </c>
      <c r="F672">
        <v>814.25</v>
      </c>
      <c r="G672">
        <v>75.789599999999993</v>
      </c>
      <c r="H672">
        <v>87.172200000000004</v>
      </c>
      <c r="I672" s="3">
        <v>3.5</v>
      </c>
      <c r="J672" s="3">
        <v>3.5009999999999999</v>
      </c>
      <c r="K672" s="3">
        <v>5.34</v>
      </c>
      <c r="L672" s="3">
        <v>3.5259999999999998</v>
      </c>
    </row>
    <row r="673" spans="1:12" x14ac:dyDescent="0.3">
      <c r="A673" s="2">
        <v>45498</v>
      </c>
      <c r="B673" s="1">
        <v>5399.22</v>
      </c>
      <c r="C673" s="1">
        <v>17181.72</v>
      </c>
      <c r="D673">
        <v>107.9753</v>
      </c>
      <c r="E673">
        <v>2710.65</v>
      </c>
      <c r="F673">
        <v>797.29</v>
      </c>
      <c r="G673">
        <v>75.798900000000003</v>
      </c>
      <c r="H673">
        <v>87.366299999999995</v>
      </c>
      <c r="I673" s="3">
        <v>3.5</v>
      </c>
      <c r="J673" s="3">
        <v>3.5649999999999999</v>
      </c>
      <c r="K673" s="3">
        <v>5.35</v>
      </c>
      <c r="L673" s="3">
        <v>3.5569999999999999</v>
      </c>
    </row>
    <row r="674" spans="1:12" x14ac:dyDescent="0.3">
      <c r="A674" s="2">
        <v>45499</v>
      </c>
      <c r="B674" s="1">
        <v>5459.1</v>
      </c>
      <c r="C674" s="1">
        <v>17357.88</v>
      </c>
      <c r="D674">
        <v>109.25409999999999</v>
      </c>
      <c r="E674">
        <v>2731.9</v>
      </c>
      <c r="F674">
        <v>797.56</v>
      </c>
      <c r="G674">
        <v>75.900499999999994</v>
      </c>
      <c r="H674">
        <v>87.781999999999996</v>
      </c>
      <c r="I674" s="3">
        <v>3.5</v>
      </c>
      <c r="J674" s="3">
        <v>3.5630000000000002</v>
      </c>
      <c r="K674" s="3">
        <v>5.35</v>
      </c>
      <c r="L674" s="3">
        <v>3.5409999999999999</v>
      </c>
    </row>
    <row r="675" spans="1:12" x14ac:dyDescent="0.3">
      <c r="A675" s="2">
        <v>45502</v>
      </c>
      <c r="B675" s="1">
        <v>5463.54</v>
      </c>
      <c r="C675" s="1">
        <v>17370.2</v>
      </c>
      <c r="D675">
        <v>109.1572</v>
      </c>
      <c r="E675">
        <v>2765.53</v>
      </c>
      <c r="F675">
        <v>807.99</v>
      </c>
      <c r="G675">
        <v>75.909800000000004</v>
      </c>
      <c r="H675">
        <v>87.929900000000004</v>
      </c>
      <c r="I675" s="3">
        <v>3.5</v>
      </c>
      <c r="J675" s="3">
        <v>3.452</v>
      </c>
      <c r="K675" s="3">
        <v>5.33</v>
      </c>
      <c r="L675" s="3">
        <v>3.5049999999999999</v>
      </c>
    </row>
    <row r="676" spans="1:12" x14ac:dyDescent="0.3">
      <c r="A676" s="2">
        <v>45503</v>
      </c>
      <c r="B676" s="1">
        <v>5436.44</v>
      </c>
      <c r="C676" s="1">
        <v>17147.419999999998</v>
      </c>
      <c r="D676">
        <v>108.7891</v>
      </c>
      <c r="E676">
        <v>2738.19</v>
      </c>
      <c r="F676">
        <v>803.78</v>
      </c>
      <c r="G676">
        <v>75.9375</v>
      </c>
      <c r="H676">
        <v>88.114599999999996</v>
      </c>
      <c r="I676" s="3">
        <v>3.5</v>
      </c>
      <c r="J676" s="3">
        <v>3.4740000000000002</v>
      </c>
      <c r="K676" s="3">
        <v>5.33</v>
      </c>
      <c r="L676" s="3">
        <v>3.5129999999999999</v>
      </c>
    </row>
    <row r="677" spans="1:12" x14ac:dyDescent="0.3">
      <c r="A677" s="2">
        <v>45504</v>
      </c>
      <c r="B677" s="1">
        <v>5522.3</v>
      </c>
      <c r="C677" s="1">
        <v>17599.400000000001</v>
      </c>
      <c r="D677">
        <v>110.57170000000001</v>
      </c>
      <c r="E677">
        <v>2770.69</v>
      </c>
      <c r="F677">
        <v>803.15</v>
      </c>
      <c r="G677">
        <v>76.0946</v>
      </c>
      <c r="H677">
        <v>88.761399999999995</v>
      </c>
      <c r="I677" s="3">
        <v>3.5</v>
      </c>
      <c r="J677" s="3">
        <v>3.5190000000000001</v>
      </c>
      <c r="K677" s="3">
        <v>5.38</v>
      </c>
      <c r="L677" s="3">
        <v>3.53</v>
      </c>
    </row>
    <row r="678" spans="1:12" x14ac:dyDescent="0.3">
      <c r="A678" s="2">
        <v>45505</v>
      </c>
      <c r="B678" s="1">
        <v>5446.68</v>
      </c>
      <c r="C678" s="1">
        <v>17194.14</v>
      </c>
      <c r="D678">
        <v>108.605</v>
      </c>
      <c r="E678">
        <v>2777.68</v>
      </c>
      <c r="F678">
        <v>813.53</v>
      </c>
      <c r="G678">
        <v>76.226699999999994</v>
      </c>
      <c r="H678">
        <v>89.140500000000003</v>
      </c>
      <c r="I678" s="3">
        <v>3.5</v>
      </c>
      <c r="J678" s="3">
        <v>3.47</v>
      </c>
      <c r="K678" s="3">
        <v>5.35</v>
      </c>
      <c r="L678" s="3">
        <v>3.512</v>
      </c>
    </row>
    <row r="679" spans="1:12" x14ac:dyDescent="0.3">
      <c r="A679" s="2">
        <v>45506</v>
      </c>
      <c r="B679" s="1">
        <v>5346.56</v>
      </c>
      <c r="C679" s="1">
        <v>16776.16</v>
      </c>
      <c r="D679">
        <v>106.6964</v>
      </c>
      <c r="E679">
        <v>2676.19</v>
      </c>
      <c r="F679">
        <v>779.33</v>
      </c>
      <c r="G679">
        <v>76.653199999999998</v>
      </c>
      <c r="H679">
        <v>90.521299999999997</v>
      </c>
      <c r="I679" s="3">
        <v>3.5</v>
      </c>
      <c r="J679" s="3">
        <v>3.5369999999999999</v>
      </c>
      <c r="K679" s="3">
        <v>5.35</v>
      </c>
      <c r="L679" s="3">
        <v>3.5419999999999998</v>
      </c>
    </row>
    <row r="680" spans="1:12" x14ac:dyDescent="0.3">
      <c r="A680" s="2">
        <v>45509</v>
      </c>
      <c r="B680" s="1">
        <v>5186.33</v>
      </c>
      <c r="C680" s="1">
        <v>16200.08</v>
      </c>
      <c r="D680">
        <v>103.8965</v>
      </c>
      <c r="E680">
        <v>2441.5500000000002</v>
      </c>
      <c r="F680">
        <v>691.28</v>
      </c>
      <c r="G680">
        <v>76.634699999999995</v>
      </c>
      <c r="H680">
        <v>90.614000000000004</v>
      </c>
      <c r="I680" s="3">
        <v>3.5</v>
      </c>
      <c r="J680" s="3">
        <v>3.536</v>
      </c>
      <c r="K680" s="3">
        <v>5.32</v>
      </c>
      <c r="L680" s="3">
        <v>3.5449999999999999</v>
      </c>
    </row>
    <row r="681" spans="1:12" x14ac:dyDescent="0.3">
      <c r="A681" s="2">
        <v>45510</v>
      </c>
      <c r="B681" s="1">
        <v>5240.03</v>
      </c>
      <c r="C681" s="1">
        <v>16366.85</v>
      </c>
      <c r="D681">
        <v>104.60380000000001</v>
      </c>
      <c r="E681">
        <v>2522.15</v>
      </c>
      <c r="F681">
        <v>732.87</v>
      </c>
      <c r="G681">
        <v>76.541899999999998</v>
      </c>
      <c r="H681">
        <v>89.807699999999997</v>
      </c>
      <c r="I681" s="3">
        <v>3.5</v>
      </c>
      <c r="J681" s="3">
        <v>3.5680000000000001</v>
      </c>
      <c r="K681" s="3">
        <v>5.33</v>
      </c>
      <c r="L681" s="3">
        <v>3.5350000000000001</v>
      </c>
    </row>
    <row r="682" spans="1:12" x14ac:dyDescent="0.3">
      <c r="A682" s="2">
        <v>45511</v>
      </c>
      <c r="B682" s="1">
        <v>5199.5</v>
      </c>
      <c r="C682" s="1">
        <v>16195.81</v>
      </c>
      <c r="D682">
        <v>104.41</v>
      </c>
      <c r="E682">
        <v>2568.41</v>
      </c>
      <c r="F682">
        <v>748.54</v>
      </c>
      <c r="G682">
        <v>76.495599999999996</v>
      </c>
      <c r="H682">
        <v>89.483400000000003</v>
      </c>
      <c r="I682" s="3">
        <v>3.5</v>
      </c>
      <c r="J682" s="3">
        <v>3.5680000000000001</v>
      </c>
      <c r="K682" s="3">
        <v>5.33</v>
      </c>
      <c r="L682" s="3">
        <v>3.4870000000000001</v>
      </c>
    </row>
    <row r="683" spans="1:12" x14ac:dyDescent="0.3">
      <c r="A683" s="2">
        <v>45512</v>
      </c>
      <c r="B683" s="1">
        <v>5319.31</v>
      </c>
      <c r="C683" s="1">
        <v>16660.02</v>
      </c>
      <c r="D683">
        <v>106.6092</v>
      </c>
      <c r="E683">
        <v>2556.73</v>
      </c>
      <c r="F683">
        <v>745.28</v>
      </c>
      <c r="G683">
        <v>76.458500000000001</v>
      </c>
      <c r="H683">
        <v>89.214600000000004</v>
      </c>
      <c r="I683" s="3">
        <v>3.5</v>
      </c>
      <c r="J683" s="3">
        <v>3.5419999999999998</v>
      </c>
      <c r="K683" s="3">
        <v>5.34</v>
      </c>
      <c r="L683" s="3">
        <v>3.5310000000000001</v>
      </c>
    </row>
    <row r="684" spans="1:12" x14ac:dyDescent="0.3">
      <c r="A684" s="2">
        <v>45513</v>
      </c>
      <c r="B684" s="1">
        <v>5344.16</v>
      </c>
      <c r="C684" s="1">
        <v>16745.3</v>
      </c>
      <c r="D684">
        <v>107.084</v>
      </c>
      <c r="E684">
        <v>2588.4299999999998</v>
      </c>
      <c r="F684">
        <v>764.43</v>
      </c>
      <c r="G684">
        <v>76.477000000000004</v>
      </c>
      <c r="H684">
        <v>89.575999999999993</v>
      </c>
      <c r="I684" s="3">
        <v>3.5</v>
      </c>
      <c r="J684" s="3">
        <v>3.5179999999999998</v>
      </c>
      <c r="K684" s="3">
        <v>5.34</v>
      </c>
      <c r="L684" s="3">
        <v>3.5310000000000001</v>
      </c>
    </row>
    <row r="685" spans="1:12" x14ac:dyDescent="0.3">
      <c r="A685" s="2">
        <v>45516</v>
      </c>
      <c r="B685" s="1">
        <v>5344.39</v>
      </c>
      <c r="C685" s="1">
        <v>16780.61</v>
      </c>
      <c r="D685">
        <v>107.1615</v>
      </c>
      <c r="E685">
        <v>2618.3000000000002</v>
      </c>
      <c r="F685">
        <v>772.72</v>
      </c>
      <c r="G685">
        <v>76.523399999999995</v>
      </c>
      <c r="H685">
        <v>89.8262</v>
      </c>
      <c r="I685" s="3">
        <v>3.5</v>
      </c>
      <c r="J685" s="3">
        <v>3.5230000000000001</v>
      </c>
      <c r="K685" s="3">
        <v>5.34</v>
      </c>
      <c r="L685" s="3">
        <v>3.5339999999999998</v>
      </c>
    </row>
    <row r="686" spans="1:12" x14ac:dyDescent="0.3">
      <c r="A686" s="2">
        <v>45517</v>
      </c>
      <c r="B686" s="1">
        <v>5434.43</v>
      </c>
      <c r="C686" s="1">
        <v>17187.61</v>
      </c>
      <c r="D686">
        <v>108.8085</v>
      </c>
      <c r="E686">
        <v>2621.5</v>
      </c>
      <c r="F686">
        <v>764.86</v>
      </c>
      <c r="G686">
        <v>76.643900000000002</v>
      </c>
      <c r="H686">
        <v>90.224699999999999</v>
      </c>
      <c r="I686" s="3">
        <v>3.5</v>
      </c>
      <c r="J686" s="3">
        <v>3.5859999999999999</v>
      </c>
      <c r="K686" s="3">
        <v>5.34</v>
      </c>
      <c r="L686" s="3">
        <v>3.5790000000000002</v>
      </c>
    </row>
    <row r="687" spans="1:12" x14ac:dyDescent="0.3">
      <c r="A687" s="2">
        <v>45518</v>
      </c>
      <c r="B687" s="1">
        <v>5455.21</v>
      </c>
      <c r="C687" s="1">
        <v>17192.599999999999</v>
      </c>
      <c r="D687">
        <v>109.09910000000001</v>
      </c>
      <c r="E687">
        <v>2644.5</v>
      </c>
      <c r="F687">
        <v>776.83</v>
      </c>
      <c r="G687">
        <v>76.634699999999995</v>
      </c>
      <c r="H687">
        <v>90.345200000000006</v>
      </c>
      <c r="I687" s="3">
        <v>3.5</v>
      </c>
      <c r="J687" s="3">
        <v>3.5640000000000001</v>
      </c>
      <c r="K687" s="3">
        <v>5.33</v>
      </c>
      <c r="L687" s="3">
        <v>3.5609999999999999</v>
      </c>
    </row>
    <row r="688" spans="1:12" x14ac:dyDescent="0.3">
      <c r="A688" s="2">
        <v>45519</v>
      </c>
      <c r="B688" s="1">
        <v>5543.22</v>
      </c>
      <c r="C688" s="1">
        <v>17594.5</v>
      </c>
      <c r="D688">
        <v>110.83329999999999</v>
      </c>
      <c r="E688">
        <v>2644.5</v>
      </c>
      <c r="F688">
        <v>776.83</v>
      </c>
      <c r="G688">
        <v>76.449200000000005</v>
      </c>
      <c r="H688">
        <v>89.779899999999998</v>
      </c>
      <c r="I688" s="3">
        <v>3.5</v>
      </c>
      <c r="J688" s="3">
        <v>3.5640000000000001</v>
      </c>
      <c r="K688" s="3">
        <v>5.35</v>
      </c>
      <c r="L688" s="3">
        <v>3.5</v>
      </c>
    </row>
    <row r="689" spans="1:12" x14ac:dyDescent="0.3">
      <c r="A689" s="2">
        <v>45520</v>
      </c>
      <c r="B689" s="1">
        <v>5554.25</v>
      </c>
      <c r="C689" s="1">
        <v>17631.72</v>
      </c>
      <c r="D689">
        <v>111.2208</v>
      </c>
      <c r="E689">
        <v>2697.23</v>
      </c>
      <c r="F689">
        <v>786.33</v>
      </c>
      <c r="G689">
        <v>76.532700000000006</v>
      </c>
      <c r="H689">
        <v>89.956000000000003</v>
      </c>
      <c r="I689" s="3">
        <v>3.5</v>
      </c>
      <c r="J689" s="3">
        <v>3.5459999999999998</v>
      </c>
      <c r="K689" s="3">
        <v>5.32</v>
      </c>
      <c r="L689" s="3">
        <v>3.5539999999999998</v>
      </c>
    </row>
    <row r="690" spans="1:12" x14ac:dyDescent="0.3">
      <c r="A690" s="2">
        <v>45523</v>
      </c>
      <c r="B690" s="1">
        <v>5608.25</v>
      </c>
      <c r="C690" s="1">
        <v>17876.77</v>
      </c>
      <c r="D690">
        <v>112.33499999999999</v>
      </c>
      <c r="E690">
        <v>2674.36</v>
      </c>
      <c r="F690">
        <v>777.47</v>
      </c>
      <c r="G690">
        <v>76.514099999999999</v>
      </c>
      <c r="H690">
        <v>90.076499999999996</v>
      </c>
      <c r="I690" s="3">
        <v>3.5</v>
      </c>
      <c r="J690" s="3">
        <v>3.5459999999999998</v>
      </c>
      <c r="K690" s="3">
        <v>5.32</v>
      </c>
      <c r="L690" s="3">
        <v>3.5379999999999998</v>
      </c>
    </row>
    <row r="691" spans="1:12" x14ac:dyDescent="0.3">
      <c r="A691" s="2">
        <v>45524</v>
      </c>
      <c r="B691" s="1">
        <v>5597.12</v>
      </c>
      <c r="C691" s="1">
        <v>17816.939999999999</v>
      </c>
      <c r="D691">
        <v>112.054</v>
      </c>
      <c r="E691">
        <v>2696.63</v>
      </c>
      <c r="F691">
        <v>787.44</v>
      </c>
      <c r="G691">
        <v>76.625399999999999</v>
      </c>
      <c r="H691">
        <v>90.437899999999999</v>
      </c>
      <c r="I691" s="3">
        <v>3.5</v>
      </c>
      <c r="J691" s="3">
        <v>3.5270000000000001</v>
      </c>
      <c r="K691" s="3">
        <v>5.32</v>
      </c>
      <c r="L691" s="3">
        <v>3.5230000000000001</v>
      </c>
    </row>
    <row r="692" spans="1:12" x14ac:dyDescent="0.3">
      <c r="A692" s="2">
        <v>45525</v>
      </c>
      <c r="B692" s="1">
        <v>5620.85</v>
      </c>
      <c r="C692" s="1">
        <v>17918.990000000002</v>
      </c>
      <c r="D692">
        <v>112.6353</v>
      </c>
      <c r="E692">
        <v>2701.13</v>
      </c>
      <c r="F692">
        <v>779.87</v>
      </c>
      <c r="G692">
        <v>76.708799999999997</v>
      </c>
      <c r="H692">
        <v>90.623199999999997</v>
      </c>
      <c r="I692" s="3">
        <v>3.5</v>
      </c>
      <c r="J692" s="3">
        <v>3.5459999999999998</v>
      </c>
      <c r="K692" s="3">
        <v>5.31</v>
      </c>
      <c r="L692" s="3">
        <v>3.536</v>
      </c>
    </row>
    <row r="693" spans="1:12" x14ac:dyDescent="0.3">
      <c r="A693" s="2">
        <v>45526</v>
      </c>
      <c r="B693" s="1">
        <v>5570.64</v>
      </c>
      <c r="C693" s="1">
        <v>17619.349999999999</v>
      </c>
      <c r="D693">
        <v>111.744</v>
      </c>
      <c r="E693">
        <v>2707.67</v>
      </c>
      <c r="F693">
        <v>773.47</v>
      </c>
      <c r="G693">
        <v>76.606899999999996</v>
      </c>
      <c r="H693">
        <v>90.206199999999995</v>
      </c>
      <c r="I693" s="3">
        <v>3.5</v>
      </c>
      <c r="J693" s="3">
        <v>3.5459999999999998</v>
      </c>
      <c r="K693" s="3">
        <v>5.31</v>
      </c>
      <c r="L693" s="3">
        <v>3.5379999999999998</v>
      </c>
    </row>
    <row r="694" spans="1:12" x14ac:dyDescent="0.3">
      <c r="A694" s="2">
        <v>45527</v>
      </c>
      <c r="B694" s="1">
        <v>5634.61</v>
      </c>
      <c r="C694" s="1">
        <v>17877.79</v>
      </c>
      <c r="D694">
        <v>113.25539999999999</v>
      </c>
      <c r="E694">
        <v>2701.69</v>
      </c>
      <c r="F694">
        <v>773.26</v>
      </c>
      <c r="G694">
        <v>76.783000000000001</v>
      </c>
      <c r="H694">
        <v>90.623199999999997</v>
      </c>
      <c r="I694" s="3">
        <v>3.5</v>
      </c>
      <c r="J694" s="3">
        <v>3.5190000000000001</v>
      </c>
      <c r="K694" s="3">
        <v>5.33</v>
      </c>
      <c r="L694" s="3">
        <v>3.5230000000000001</v>
      </c>
    </row>
    <row r="695" spans="1:12" x14ac:dyDescent="0.3">
      <c r="A695" s="2">
        <v>45530</v>
      </c>
      <c r="B695" s="1">
        <v>5616.84</v>
      </c>
      <c r="C695" s="1">
        <v>17725.77</v>
      </c>
      <c r="D695">
        <v>112.83880000000001</v>
      </c>
      <c r="E695">
        <v>2698.01</v>
      </c>
      <c r="F695">
        <v>766.79</v>
      </c>
      <c r="G695">
        <v>76.745900000000006</v>
      </c>
      <c r="H695">
        <v>90.512</v>
      </c>
      <c r="I695" s="3">
        <v>3.5</v>
      </c>
      <c r="J695" s="3">
        <v>3.5179999999999998</v>
      </c>
      <c r="K695" s="3">
        <v>5.34</v>
      </c>
      <c r="L695" s="3">
        <v>3.528</v>
      </c>
    </row>
    <row r="696" spans="1:12" x14ac:dyDescent="0.3">
      <c r="A696" s="2">
        <v>45531</v>
      </c>
      <c r="B696" s="1">
        <v>5625.8</v>
      </c>
      <c r="C696" s="1">
        <v>17754.82</v>
      </c>
      <c r="D696">
        <v>113.0616</v>
      </c>
      <c r="E696">
        <v>2689.25</v>
      </c>
      <c r="F696">
        <v>764.95</v>
      </c>
      <c r="G696">
        <v>76.792299999999997</v>
      </c>
      <c r="H696">
        <v>90.474900000000005</v>
      </c>
      <c r="I696" s="3">
        <v>3.5</v>
      </c>
      <c r="J696" s="3">
        <v>3.5009999999999999</v>
      </c>
      <c r="K696" s="3">
        <v>5.35</v>
      </c>
      <c r="L696" s="3">
        <v>3.5089999999999999</v>
      </c>
    </row>
    <row r="697" spans="1:12" x14ac:dyDescent="0.3">
      <c r="A697" s="2">
        <v>45532</v>
      </c>
      <c r="B697" s="1">
        <v>5592.18</v>
      </c>
      <c r="C697" s="1">
        <v>17556.03</v>
      </c>
      <c r="D697">
        <v>112.4415</v>
      </c>
      <c r="E697">
        <v>2689.83</v>
      </c>
      <c r="F697">
        <v>762.5</v>
      </c>
      <c r="G697">
        <v>76.783000000000001</v>
      </c>
      <c r="H697">
        <v>90.428600000000003</v>
      </c>
      <c r="I697" s="3">
        <v>3.5</v>
      </c>
      <c r="J697" s="3">
        <v>3.5</v>
      </c>
      <c r="K697" s="3">
        <v>5.35</v>
      </c>
      <c r="L697" s="3">
        <v>3.5049999999999999</v>
      </c>
    </row>
    <row r="698" spans="1:12" x14ac:dyDescent="0.3">
      <c r="A698" s="2">
        <v>45533</v>
      </c>
      <c r="B698" s="1">
        <v>5591.96</v>
      </c>
      <c r="C698" s="1">
        <v>17516.43</v>
      </c>
      <c r="D698">
        <v>112.5384</v>
      </c>
      <c r="E698">
        <v>2662.28</v>
      </c>
      <c r="F698">
        <v>756.04</v>
      </c>
      <c r="G698">
        <v>76.769099999999995</v>
      </c>
      <c r="H698">
        <v>90.271100000000004</v>
      </c>
      <c r="I698" s="3">
        <v>3.5</v>
      </c>
      <c r="J698" s="3">
        <v>3.4540000000000002</v>
      </c>
      <c r="K698" s="3">
        <v>5.33</v>
      </c>
      <c r="L698" s="3">
        <v>3.5030000000000001</v>
      </c>
    </row>
    <row r="699" spans="1:12" x14ac:dyDescent="0.3">
      <c r="A699" s="2">
        <v>45534</v>
      </c>
      <c r="B699" s="1">
        <v>5648.4</v>
      </c>
      <c r="C699" s="1">
        <v>17713.62</v>
      </c>
      <c r="D699">
        <v>113.3329</v>
      </c>
      <c r="E699">
        <v>2674.31</v>
      </c>
      <c r="F699">
        <v>767.66</v>
      </c>
      <c r="G699">
        <v>76.773799999999994</v>
      </c>
      <c r="H699">
        <v>89.956000000000003</v>
      </c>
      <c r="I699" s="3">
        <v>3.5</v>
      </c>
      <c r="J699" s="3">
        <v>3.5459999999999998</v>
      </c>
      <c r="K699" s="3">
        <v>5.32</v>
      </c>
      <c r="L699" s="3">
        <v>3.5430000000000001</v>
      </c>
    </row>
    <row r="700" spans="1:12" x14ac:dyDescent="0.3">
      <c r="A700" s="2">
        <v>45537</v>
      </c>
      <c r="B700" s="1">
        <v>5648.4</v>
      </c>
      <c r="C700" s="1">
        <v>17713.62</v>
      </c>
      <c r="D700">
        <v>113.3329</v>
      </c>
      <c r="E700">
        <v>2681</v>
      </c>
      <c r="F700">
        <v>769.21</v>
      </c>
      <c r="G700">
        <v>76.773799999999994</v>
      </c>
      <c r="H700">
        <v>89.956000000000003</v>
      </c>
      <c r="I700" s="3">
        <v>3.5</v>
      </c>
      <c r="J700" s="3">
        <v>3.5190000000000001</v>
      </c>
      <c r="K700" s="3">
        <v>5.32</v>
      </c>
      <c r="L700" s="3">
        <v>3.5209999999999999</v>
      </c>
    </row>
    <row r="701" spans="1:12" x14ac:dyDescent="0.3">
      <c r="A701" s="2">
        <v>45538</v>
      </c>
      <c r="B701" s="1">
        <v>5528.93</v>
      </c>
      <c r="C701" s="1">
        <v>17136.3</v>
      </c>
      <c r="D701">
        <v>111.1627</v>
      </c>
      <c r="E701">
        <v>2664.63</v>
      </c>
      <c r="F701">
        <v>760.37</v>
      </c>
      <c r="G701">
        <v>76.855800000000002</v>
      </c>
      <c r="H701">
        <v>90.549199999999999</v>
      </c>
      <c r="I701" s="3">
        <v>3.5</v>
      </c>
      <c r="J701" s="3">
        <v>3.5190000000000001</v>
      </c>
      <c r="K701" s="3">
        <v>5.34</v>
      </c>
      <c r="L701" s="3">
        <v>3.5070000000000001</v>
      </c>
    </row>
    <row r="702" spans="1:12" x14ac:dyDescent="0.3">
      <c r="A702" s="2">
        <v>45539</v>
      </c>
      <c r="B702" s="1">
        <v>5520.07</v>
      </c>
      <c r="C702" s="1">
        <v>17084.3</v>
      </c>
      <c r="D702">
        <v>110.8236</v>
      </c>
      <c r="E702">
        <v>2580.8000000000002</v>
      </c>
      <c r="F702">
        <v>731.75</v>
      </c>
      <c r="G702">
        <v>77.023300000000006</v>
      </c>
      <c r="H702">
        <v>91.078999999999994</v>
      </c>
      <c r="I702" s="3">
        <v>3.5</v>
      </c>
      <c r="J702" s="3">
        <v>3.5009999999999999</v>
      </c>
      <c r="K702" s="3">
        <v>5.35</v>
      </c>
      <c r="L702" s="3">
        <v>3.5209999999999999</v>
      </c>
    </row>
    <row r="703" spans="1:12" x14ac:dyDescent="0.3">
      <c r="A703" s="2">
        <v>45540</v>
      </c>
      <c r="B703" s="1">
        <v>5503.41</v>
      </c>
      <c r="C703" s="1">
        <v>17127.66</v>
      </c>
      <c r="D703">
        <v>110.688</v>
      </c>
      <c r="E703">
        <v>2575.5</v>
      </c>
      <c r="F703">
        <v>725.28</v>
      </c>
      <c r="G703">
        <v>77.051199999999994</v>
      </c>
      <c r="H703">
        <v>91.2928</v>
      </c>
      <c r="I703" s="3">
        <v>3.5</v>
      </c>
      <c r="J703" s="3">
        <v>3.5379999999999998</v>
      </c>
      <c r="K703" s="3">
        <v>5.35</v>
      </c>
      <c r="L703" s="3">
        <v>3.5459999999999998</v>
      </c>
    </row>
    <row r="704" spans="1:12" x14ac:dyDescent="0.3">
      <c r="A704" s="2">
        <v>45541</v>
      </c>
      <c r="B704" s="1">
        <v>5408.42</v>
      </c>
      <c r="C704" s="1">
        <v>16690.830000000002</v>
      </c>
      <c r="D704">
        <v>108.8085</v>
      </c>
      <c r="E704">
        <v>2544.2800000000002</v>
      </c>
      <c r="F704">
        <v>706.59</v>
      </c>
      <c r="G704">
        <v>77.190799999999996</v>
      </c>
      <c r="H704">
        <v>91.422899999999998</v>
      </c>
      <c r="I704" s="3">
        <v>3.5</v>
      </c>
      <c r="J704" s="3">
        <v>3.5840000000000001</v>
      </c>
      <c r="K704" s="3">
        <v>5.34</v>
      </c>
      <c r="L704" s="3">
        <v>3.5550000000000002</v>
      </c>
    </row>
    <row r="705" spans="1:12" x14ac:dyDescent="0.3">
      <c r="A705" s="2">
        <v>45544</v>
      </c>
      <c r="B705" s="1">
        <v>5471.05</v>
      </c>
      <c r="C705" s="1">
        <v>16884.599999999999</v>
      </c>
      <c r="D705">
        <v>109.9323</v>
      </c>
      <c r="E705">
        <v>2535.9299999999998</v>
      </c>
      <c r="F705">
        <v>714.46</v>
      </c>
      <c r="G705">
        <v>77.200100000000006</v>
      </c>
      <c r="H705">
        <v>91.552999999999997</v>
      </c>
      <c r="I705" s="3">
        <v>3.5</v>
      </c>
      <c r="J705" s="3">
        <v>3.6070000000000002</v>
      </c>
      <c r="K705" s="3">
        <v>5.34</v>
      </c>
      <c r="L705" s="3">
        <v>3.5619999999999998</v>
      </c>
    </row>
    <row r="706" spans="1:12" x14ac:dyDescent="0.3">
      <c r="A706" s="2">
        <v>45545</v>
      </c>
      <c r="B706" s="1">
        <v>5495.52</v>
      </c>
      <c r="C706" s="1">
        <v>17025.88</v>
      </c>
      <c r="D706">
        <v>110.0873</v>
      </c>
      <c r="E706">
        <v>2523.4299999999998</v>
      </c>
      <c r="F706">
        <v>706.2</v>
      </c>
      <c r="G706">
        <v>77.311800000000005</v>
      </c>
      <c r="H706">
        <v>91.943399999999997</v>
      </c>
      <c r="I706" s="3">
        <v>3.5</v>
      </c>
      <c r="J706" s="3">
        <v>3.552</v>
      </c>
      <c r="K706" s="3">
        <v>5.33</v>
      </c>
      <c r="L706" s="3">
        <v>3.42</v>
      </c>
    </row>
    <row r="707" spans="1:12" x14ac:dyDescent="0.3">
      <c r="A707" s="2">
        <v>45546</v>
      </c>
      <c r="B707" s="1">
        <v>5554.13</v>
      </c>
      <c r="C707" s="1">
        <v>17395.53</v>
      </c>
      <c r="D707">
        <v>111.0561</v>
      </c>
      <c r="E707">
        <v>2513.37</v>
      </c>
      <c r="F707">
        <v>709.42</v>
      </c>
      <c r="G707">
        <v>77.246600000000001</v>
      </c>
      <c r="H707">
        <v>91.878299999999996</v>
      </c>
      <c r="I707" s="3">
        <v>3.5</v>
      </c>
      <c r="J707" s="3">
        <v>3.5510000000000002</v>
      </c>
      <c r="K707" s="3">
        <v>5.32</v>
      </c>
      <c r="L707" s="3">
        <v>3.48</v>
      </c>
    </row>
    <row r="708" spans="1:12" x14ac:dyDescent="0.3">
      <c r="A708" s="2">
        <v>45547</v>
      </c>
      <c r="B708" s="1">
        <v>5595.76</v>
      </c>
      <c r="C708" s="1">
        <v>17569.68</v>
      </c>
      <c r="D708">
        <v>112.0249</v>
      </c>
      <c r="E708">
        <v>2572.09</v>
      </c>
      <c r="F708">
        <v>731.03</v>
      </c>
      <c r="G708">
        <v>77.251300000000001</v>
      </c>
      <c r="H708">
        <v>91.729600000000005</v>
      </c>
      <c r="I708" s="3">
        <v>3.5</v>
      </c>
      <c r="J708" s="3">
        <v>3.5830000000000002</v>
      </c>
      <c r="K708" s="3">
        <v>5.33</v>
      </c>
      <c r="L708" s="3">
        <v>3.5779999999999998</v>
      </c>
    </row>
    <row r="709" spans="1:12" x14ac:dyDescent="0.3">
      <c r="A709" s="2">
        <v>45548</v>
      </c>
      <c r="B709" s="1">
        <v>5626.02</v>
      </c>
      <c r="C709" s="1">
        <v>17683.98</v>
      </c>
      <c r="D709">
        <v>112.5869</v>
      </c>
      <c r="E709">
        <v>2575.41</v>
      </c>
      <c r="F709">
        <v>733.2</v>
      </c>
      <c r="G709">
        <v>77.367599999999996</v>
      </c>
      <c r="H709">
        <v>91.906199999999998</v>
      </c>
      <c r="I709" s="3">
        <v>3.5</v>
      </c>
      <c r="J709" s="3">
        <v>3.5830000000000002</v>
      </c>
      <c r="K709" s="3">
        <v>5.33</v>
      </c>
      <c r="L709" s="3">
        <v>3.5379999999999998</v>
      </c>
    </row>
    <row r="710" spans="1:12" x14ac:dyDescent="0.3">
      <c r="A710" s="2">
        <v>45551</v>
      </c>
      <c r="B710" s="1">
        <v>5633.09</v>
      </c>
      <c r="C710" s="1">
        <v>17592.13</v>
      </c>
      <c r="D710">
        <v>112.9744</v>
      </c>
      <c r="E710">
        <v>2575.41</v>
      </c>
      <c r="F710">
        <v>733.2</v>
      </c>
      <c r="G710">
        <v>77.414100000000005</v>
      </c>
      <c r="H710">
        <v>92.147900000000007</v>
      </c>
      <c r="I710" s="3">
        <v>3.5</v>
      </c>
      <c r="J710" s="3">
        <v>3.5830000000000002</v>
      </c>
      <c r="K710" s="3">
        <v>5.38</v>
      </c>
      <c r="L710" s="3">
        <v>3.5</v>
      </c>
    </row>
    <row r="711" spans="1:12" x14ac:dyDescent="0.3">
      <c r="A711" s="2">
        <v>45552</v>
      </c>
      <c r="B711" s="1">
        <v>5634.58</v>
      </c>
      <c r="C711" s="1">
        <v>17628.060000000001</v>
      </c>
      <c r="D711">
        <v>112.85809999999999</v>
      </c>
      <c r="E711">
        <v>2575.41</v>
      </c>
      <c r="F711">
        <v>733.2</v>
      </c>
      <c r="G711">
        <v>77.3583</v>
      </c>
      <c r="H711">
        <v>91.980599999999995</v>
      </c>
      <c r="I711" s="3">
        <v>3.5</v>
      </c>
      <c r="J711" s="3">
        <v>3.5830000000000002</v>
      </c>
      <c r="K711" s="3">
        <v>5.38</v>
      </c>
      <c r="L711" s="3">
        <v>3.5</v>
      </c>
    </row>
    <row r="712" spans="1:12" x14ac:dyDescent="0.3">
      <c r="A712" s="2">
        <v>45553</v>
      </c>
      <c r="B712" s="1">
        <v>5618.26</v>
      </c>
      <c r="C712" s="1">
        <v>17573.3</v>
      </c>
      <c r="D712">
        <v>112.5384</v>
      </c>
      <c r="E712">
        <v>2575.41</v>
      </c>
      <c r="F712">
        <v>733.2</v>
      </c>
      <c r="G712">
        <v>77.330399999999997</v>
      </c>
      <c r="H712">
        <v>91.5809</v>
      </c>
      <c r="I712" s="3">
        <v>3.5</v>
      </c>
      <c r="J712" s="3">
        <v>3.5830000000000002</v>
      </c>
      <c r="K712" s="3">
        <v>5.33</v>
      </c>
      <c r="L712" s="3">
        <v>3.5</v>
      </c>
    </row>
    <row r="713" spans="1:12" x14ac:dyDescent="0.3">
      <c r="A713" s="2">
        <v>45554</v>
      </c>
      <c r="B713" s="1">
        <v>5713.64</v>
      </c>
      <c r="C713" s="1">
        <v>18013.98</v>
      </c>
      <c r="D713">
        <v>114.54389999999999</v>
      </c>
      <c r="E713">
        <v>2580.8000000000002</v>
      </c>
      <c r="F713">
        <v>739.51</v>
      </c>
      <c r="G713">
        <v>77.395499999999998</v>
      </c>
      <c r="H713">
        <v>91.506500000000003</v>
      </c>
      <c r="I713" s="3">
        <v>3.5</v>
      </c>
      <c r="J713" s="3">
        <v>3.5419999999999998</v>
      </c>
      <c r="K713" s="3">
        <v>4.82</v>
      </c>
      <c r="L713" s="3">
        <v>3.5169999999999999</v>
      </c>
    </row>
    <row r="714" spans="1:12" x14ac:dyDescent="0.3">
      <c r="A714" s="2">
        <v>45555</v>
      </c>
      <c r="B714" s="1">
        <v>5702.55</v>
      </c>
      <c r="C714" s="1">
        <v>17948.32</v>
      </c>
      <c r="D714">
        <v>114.0885</v>
      </c>
      <c r="E714">
        <v>2593.37</v>
      </c>
      <c r="F714">
        <v>748.33</v>
      </c>
      <c r="G714">
        <v>77.423400000000001</v>
      </c>
      <c r="H714">
        <v>91.478700000000003</v>
      </c>
      <c r="I714" s="3">
        <v>3.5</v>
      </c>
      <c r="J714" s="3">
        <v>3.4980000000000002</v>
      </c>
      <c r="K714" s="3">
        <v>4.83</v>
      </c>
      <c r="L714" s="3">
        <v>3.5049999999999999</v>
      </c>
    </row>
    <row r="715" spans="1:12" x14ac:dyDescent="0.3">
      <c r="A715" s="2">
        <v>45558</v>
      </c>
      <c r="B715" s="1">
        <v>5718.57</v>
      </c>
      <c r="C715" s="1">
        <v>17974.27</v>
      </c>
      <c r="D715">
        <v>114.5245</v>
      </c>
      <c r="E715">
        <v>2602.0100000000002</v>
      </c>
      <c r="F715">
        <v>755.12</v>
      </c>
      <c r="G715">
        <v>77.423400000000001</v>
      </c>
      <c r="H715">
        <v>91.422899999999998</v>
      </c>
      <c r="I715" s="3">
        <v>3.5</v>
      </c>
      <c r="J715" s="3">
        <v>3.4809999999999999</v>
      </c>
      <c r="K715" s="3">
        <v>4.83</v>
      </c>
      <c r="L715" s="3">
        <v>3.4990000000000001</v>
      </c>
    </row>
    <row r="716" spans="1:12" x14ac:dyDescent="0.3">
      <c r="A716" s="2">
        <v>45559</v>
      </c>
      <c r="B716" s="1">
        <v>5732.93</v>
      </c>
      <c r="C716" s="1">
        <v>18074.52</v>
      </c>
      <c r="D716">
        <v>115.30929999999999</v>
      </c>
      <c r="E716">
        <v>2631.68</v>
      </c>
      <c r="F716">
        <v>767.35</v>
      </c>
      <c r="G716">
        <v>77.497900000000001</v>
      </c>
      <c r="H716">
        <v>91.525099999999995</v>
      </c>
      <c r="I716" s="3">
        <v>3.5</v>
      </c>
      <c r="J716" s="3">
        <v>3.5009999999999999</v>
      </c>
      <c r="K716" s="3">
        <v>4.84</v>
      </c>
      <c r="L716" s="3">
        <v>3.5089999999999999</v>
      </c>
    </row>
    <row r="717" spans="1:12" x14ac:dyDescent="0.3">
      <c r="A717" s="2">
        <v>45560</v>
      </c>
      <c r="B717" s="1">
        <v>5722.26</v>
      </c>
      <c r="C717" s="1">
        <v>18082.21</v>
      </c>
      <c r="D717">
        <v>114.8248</v>
      </c>
      <c r="E717">
        <v>2596.3200000000002</v>
      </c>
      <c r="F717">
        <v>759.3</v>
      </c>
      <c r="G717">
        <v>77.432699999999997</v>
      </c>
      <c r="H717">
        <v>91.153300000000002</v>
      </c>
      <c r="I717" s="3">
        <v>3.5</v>
      </c>
      <c r="J717" s="3">
        <v>3.5019999999999998</v>
      </c>
      <c r="K717" s="3">
        <v>4.84</v>
      </c>
      <c r="L717" s="3">
        <v>3.5089999999999999</v>
      </c>
    </row>
    <row r="718" spans="1:12" x14ac:dyDescent="0.3">
      <c r="A718" s="2">
        <v>45561</v>
      </c>
      <c r="B718" s="1">
        <v>5745.37</v>
      </c>
      <c r="C718" s="1">
        <v>18190.29</v>
      </c>
      <c r="D718">
        <v>116.1037</v>
      </c>
      <c r="E718">
        <v>2671.57</v>
      </c>
      <c r="F718">
        <v>779.18</v>
      </c>
      <c r="G718">
        <v>77.3583</v>
      </c>
      <c r="H718">
        <v>91.088300000000004</v>
      </c>
      <c r="I718" s="3">
        <v>3.5</v>
      </c>
      <c r="J718" s="3">
        <v>3.5470000000000002</v>
      </c>
      <c r="K718" s="3">
        <v>4.83</v>
      </c>
      <c r="L718" s="3">
        <v>3.5310000000000001</v>
      </c>
    </row>
    <row r="719" spans="1:12" x14ac:dyDescent="0.3">
      <c r="A719" s="2">
        <v>45562</v>
      </c>
      <c r="B719" s="1">
        <v>5738.17</v>
      </c>
      <c r="C719" s="1">
        <v>18119.59</v>
      </c>
      <c r="D719">
        <v>115.83240000000001</v>
      </c>
      <c r="E719">
        <v>2649.78</v>
      </c>
      <c r="F719">
        <v>774.49</v>
      </c>
      <c r="G719">
        <v>77.479200000000006</v>
      </c>
      <c r="H719">
        <v>91.450800000000001</v>
      </c>
      <c r="I719" s="3">
        <v>3.5</v>
      </c>
      <c r="J719" s="3">
        <v>3.5640000000000001</v>
      </c>
      <c r="K719" s="3">
        <v>4.84</v>
      </c>
      <c r="L719" s="3">
        <v>3.5350000000000001</v>
      </c>
    </row>
    <row r="720" spans="1:12" x14ac:dyDescent="0.3">
      <c r="A720" s="2">
        <v>45565</v>
      </c>
      <c r="B720" s="1">
        <v>5762.48</v>
      </c>
      <c r="C720" s="1">
        <v>18189.169999999998</v>
      </c>
      <c r="D720">
        <v>115.8227</v>
      </c>
      <c r="E720">
        <v>2593.27</v>
      </c>
      <c r="F720">
        <v>763.88</v>
      </c>
      <c r="G720">
        <v>77.367599999999996</v>
      </c>
      <c r="H720">
        <v>91.199799999999996</v>
      </c>
      <c r="I720" s="3">
        <v>3.5</v>
      </c>
      <c r="J720" s="3">
        <v>3.5910000000000002</v>
      </c>
      <c r="K720" s="3">
        <v>4.96</v>
      </c>
      <c r="L720" s="3">
        <v>3.6019999999999999</v>
      </c>
    </row>
    <row r="721" spans="1:12" x14ac:dyDescent="0.3">
      <c r="A721" s="2">
        <v>45566</v>
      </c>
      <c r="B721" s="1">
        <v>5708.75</v>
      </c>
      <c r="C721" s="1">
        <v>17910.36</v>
      </c>
      <c r="D721">
        <v>115.0864</v>
      </c>
      <c r="E721">
        <v>2593.27</v>
      </c>
      <c r="F721">
        <v>763.88</v>
      </c>
      <c r="G721">
        <v>77.417100000000005</v>
      </c>
      <c r="H721">
        <v>91.531599999999997</v>
      </c>
      <c r="I721" s="3">
        <v>3.5</v>
      </c>
      <c r="J721" s="3">
        <v>3.5910000000000002</v>
      </c>
      <c r="K721" s="3">
        <v>5.05</v>
      </c>
      <c r="L721" s="3">
        <v>3.6019999999999999</v>
      </c>
    </row>
    <row r="722" spans="1:12" x14ac:dyDescent="0.3">
      <c r="A722" s="2">
        <v>45567</v>
      </c>
      <c r="B722" s="1">
        <v>5709.54</v>
      </c>
      <c r="C722" s="1">
        <v>17925.12</v>
      </c>
      <c r="D722">
        <v>115.35769999999999</v>
      </c>
      <c r="E722">
        <v>2561.69</v>
      </c>
      <c r="F722">
        <v>762.13</v>
      </c>
      <c r="G722">
        <v>77.398499999999999</v>
      </c>
      <c r="H722">
        <v>91.270600000000002</v>
      </c>
      <c r="I722" s="3">
        <v>3.5</v>
      </c>
      <c r="J722" s="3">
        <v>3.4990000000000001</v>
      </c>
      <c r="K722" s="3">
        <v>4.92</v>
      </c>
      <c r="L722" s="3">
        <v>3.51</v>
      </c>
    </row>
    <row r="723" spans="1:12" x14ac:dyDescent="0.3">
      <c r="A723" s="2">
        <v>45568</v>
      </c>
      <c r="B723" s="1">
        <v>5699.94</v>
      </c>
      <c r="C723" s="1">
        <v>17918.47</v>
      </c>
      <c r="D723">
        <v>114.7861</v>
      </c>
      <c r="E723">
        <v>2561.69</v>
      </c>
      <c r="F723">
        <v>762.13</v>
      </c>
      <c r="G723">
        <v>77.2958</v>
      </c>
      <c r="H723">
        <v>90.804500000000004</v>
      </c>
      <c r="I723" s="3">
        <v>3.5</v>
      </c>
      <c r="J723" s="3">
        <v>3.4990000000000001</v>
      </c>
      <c r="K723" s="3">
        <v>4.8499999999999996</v>
      </c>
      <c r="L723" s="3">
        <v>3.5</v>
      </c>
    </row>
    <row r="724" spans="1:12" x14ac:dyDescent="0.3">
      <c r="A724" s="2">
        <v>45569</v>
      </c>
      <c r="B724" s="1">
        <v>5751.07</v>
      </c>
      <c r="C724" s="1">
        <v>18137.849999999999</v>
      </c>
      <c r="D724">
        <v>115.75490000000001</v>
      </c>
      <c r="E724">
        <v>2569.71</v>
      </c>
      <c r="F724">
        <v>768.98</v>
      </c>
      <c r="G724">
        <v>77.034400000000005</v>
      </c>
      <c r="H724">
        <v>89.928200000000004</v>
      </c>
      <c r="I724" s="3">
        <v>3.5</v>
      </c>
      <c r="J724" s="3">
        <v>3.472</v>
      </c>
      <c r="K724" s="3">
        <v>4.83</v>
      </c>
      <c r="L724" s="3">
        <v>3.4940000000000002</v>
      </c>
    </row>
    <row r="725" spans="1:12" x14ac:dyDescent="0.3">
      <c r="A725" s="2">
        <v>45572</v>
      </c>
      <c r="B725" s="1">
        <v>5695.94</v>
      </c>
      <c r="C725" s="1">
        <v>17923.900000000001</v>
      </c>
      <c r="D725">
        <v>115.0283</v>
      </c>
      <c r="E725">
        <v>2610.38</v>
      </c>
      <c r="F725">
        <v>781.01</v>
      </c>
      <c r="G725">
        <v>76.931700000000006</v>
      </c>
      <c r="H725">
        <v>89.602000000000004</v>
      </c>
      <c r="I725" s="3">
        <v>3.5</v>
      </c>
      <c r="J725" s="3">
        <v>3.532</v>
      </c>
      <c r="K725" s="3">
        <v>4.83</v>
      </c>
      <c r="L725" s="3">
        <v>3.4729999999999999</v>
      </c>
    </row>
    <row r="726" spans="1:12" x14ac:dyDescent="0.3">
      <c r="A726" s="2">
        <v>45573</v>
      </c>
      <c r="B726" s="1">
        <v>5751.13</v>
      </c>
      <c r="C726" s="1">
        <v>18182.919999999998</v>
      </c>
      <c r="D726">
        <v>115.32859999999999</v>
      </c>
      <c r="E726">
        <v>2594.36</v>
      </c>
      <c r="F726">
        <v>778.24</v>
      </c>
      <c r="G726">
        <v>76.997</v>
      </c>
      <c r="H726">
        <v>89.676500000000004</v>
      </c>
      <c r="I726" s="3">
        <v>3.5</v>
      </c>
      <c r="J726" s="3">
        <v>3.5310000000000001</v>
      </c>
      <c r="K726" s="3">
        <v>4.84</v>
      </c>
      <c r="L726" s="3">
        <v>3.4830000000000001</v>
      </c>
    </row>
    <row r="727" spans="1:12" x14ac:dyDescent="0.3">
      <c r="A727" s="2">
        <v>45574</v>
      </c>
      <c r="B727" s="1">
        <v>5792.04</v>
      </c>
      <c r="C727" s="1">
        <v>18291.62</v>
      </c>
      <c r="D727">
        <v>115.8034</v>
      </c>
      <c r="E727">
        <v>2594.36</v>
      </c>
      <c r="F727">
        <v>778.24</v>
      </c>
      <c r="G727">
        <v>76.922399999999996</v>
      </c>
      <c r="H727">
        <v>89.340999999999994</v>
      </c>
      <c r="I727" s="3">
        <v>3.5</v>
      </c>
      <c r="J727" s="3">
        <v>3.5310000000000001</v>
      </c>
      <c r="K727" s="3">
        <v>4.83</v>
      </c>
      <c r="L727" s="3">
        <v>3.5</v>
      </c>
    </row>
    <row r="728" spans="1:12" x14ac:dyDescent="0.3">
      <c r="A728" s="2">
        <v>45575</v>
      </c>
      <c r="B728" s="1">
        <v>5780.05</v>
      </c>
      <c r="C728" s="1">
        <v>18282.05</v>
      </c>
      <c r="D728">
        <v>115.6871</v>
      </c>
      <c r="E728">
        <v>2599.16</v>
      </c>
      <c r="F728">
        <v>775.48</v>
      </c>
      <c r="G728">
        <v>76.987700000000004</v>
      </c>
      <c r="H728">
        <v>89.331599999999995</v>
      </c>
      <c r="I728" s="3">
        <v>3.5</v>
      </c>
      <c r="J728" s="3">
        <v>3.5169999999999999</v>
      </c>
      <c r="K728" s="3">
        <v>4.82</v>
      </c>
      <c r="L728" s="3">
        <v>3.5169999999999999</v>
      </c>
    </row>
    <row r="729" spans="1:12" x14ac:dyDescent="0.3">
      <c r="A729" s="2">
        <v>45576</v>
      </c>
      <c r="B729" s="1">
        <v>5815.03</v>
      </c>
      <c r="C729" s="1">
        <v>18342.939999999999</v>
      </c>
      <c r="D729">
        <v>116.41370000000001</v>
      </c>
      <c r="E729">
        <v>2596.91</v>
      </c>
      <c r="F729">
        <v>770.98</v>
      </c>
      <c r="G729">
        <v>77.053100000000001</v>
      </c>
      <c r="H729">
        <v>89.3596</v>
      </c>
      <c r="I729" s="3">
        <v>3.25</v>
      </c>
      <c r="J729" s="3">
        <v>3.323</v>
      </c>
      <c r="K729" s="3">
        <v>4.8099999999999996</v>
      </c>
      <c r="L729" s="3">
        <v>3.3119999999999998</v>
      </c>
    </row>
    <row r="730" spans="1:12" x14ac:dyDescent="0.3">
      <c r="A730" s="2">
        <v>45579</v>
      </c>
      <c r="B730" s="1">
        <v>5859.85</v>
      </c>
      <c r="C730" s="1">
        <v>18502.689999999999</v>
      </c>
      <c r="D730">
        <v>117.01439999999999</v>
      </c>
      <c r="E730">
        <v>2623.29</v>
      </c>
      <c r="F730">
        <v>770.26</v>
      </c>
      <c r="G730">
        <v>77.015699999999995</v>
      </c>
      <c r="H730">
        <v>89.201099999999997</v>
      </c>
      <c r="I730" s="3">
        <v>3.25</v>
      </c>
      <c r="J730" s="3">
        <v>3.3180000000000001</v>
      </c>
      <c r="K730" s="3">
        <v>4.8099999999999996</v>
      </c>
      <c r="L730" s="3">
        <v>3.306</v>
      </c>
    </row>
    <row r="731" spans="1:12" x14ac:dyDescent="0.3">
      <c r="A731" s="2">
        <v>45580</v>
      </c>
      <c r="B731" s="1">
        <v>5815.26</v>
      </c>
      <c r="C731" s="1">
        <v>18315.59</v>
      </c>
      <c r="D731">
        <v>115.7937</v>
      </c>
      <c r="E731">
        <v>2633.45</v>
      </c>
      <c r="F731">
        <v>773.81</v>
      </c>
      <c r="G731">
        <v>77.053100000000001</v>
      </c>
      <c r="H731">
        <v>89.657899999999998</v>
      </c>
      <c r="I731" s="3">
        <v>3.25</v>
      </c>
      <c r="J731" s="3">
        <v>3.2879999999999998</v>
      </c>
      <c r="K731" s="3">
        <v>4.8600000000000003</v>
      </c>
      <c r="L731" s="3">
        <v>3.2909999999999999</v>
      </c>
    </row>
    <row r="732" spans="1:12" x14ac:dyDescent="0.3">
      <c r="A732" s="2">
        <v>45581</v>
      </c>
      <c r="B732" s="1">
        <v>5842.47</v>
      </c>
      <c r="C732" s="1">
        <v>18367.080000000002</v>
      </c>
      <c r="D732">
        <v>116.2587</v>
      </c>
      <c r="E732">
        <v>2610.36</v>
      </c>
      <c r="F732">
        <v>765.79</v>
      </c>
      <c r="G732">
        <v>77.099699999999999</v>
      </c>
      <c r="H732">
        <v>89.797700000000006</v>
      </c>
      <c r="I732" s="3">
        <v>3.25</v>
      </c>
      <c r="J732" s="3">
        <v>3.2869999999999999</v>
      </c>
      <c r="K732" s="3">
        <v>4.8600000000000003</v>
      </c>
      <c r="L732" s="3">
        <v>3.282</v>
      </c>
    </row>
    <row r="733" spans="1:12" x14ac:dyDescent="0.3">
      <c r="A733" s="2">
        <v>45582</v>
      </c>
      <c r="B733" s="1">
        <v>5841.47</v>
      </c>
      <c r="C733" s="1">
        <v>18373.61</v>
      </c>
      <c r="D733">
        <v>116.2103</v>
      </c>
      <c r="E733">
        <v>2609.3000000000002</v>
      </c>
      <c r="F733">
        <v>765.06</v>
      </c>
      <c r="G733">
        <v>77.034400000000005</v>
      </c>
      <c r="H733">
        <v>89.331599999999995</v>
      </c>
      <c r="I733" s="3">
        <v>3.25</v>
      </c>
      <c r="J733" s="3">
        <v>3.2690000000000001</v>
      </c>
      <c r="K733" s="3">
        <v>4.8499999999999996</v>
      </c>
      <c r="L733" s="3">
        <v>3.278</v>
      </c>
    </row>
    <row r="734" spans="1:12" x14ac:dyDescent="0.3">
      <c r="A734" s="2">
        <v>45583</v>
      </c>
      <c r="B734" s="1">
        <v>5864.67</v>
      </c>
      <c r="C734" s="1">
        <v>18489.55</v>
      </c>
      <c r="D734">
        <v>116.8884</v>
      </c>
      <c r="E734">
        <v>2593.8200000000002</v>
      </c>
      <c r="F734">
        <v>753.22</v>
      </c>
      <c r="G734">
        <v>77.099699999999999</v>
      </c>
      <c r="H734">
        <v>89.434200000000004</v>
      </c>
      <c r="I734" s="3">
        <v>3.25</v>
      </c>
      <c r="J734" s="3">
        <v>3.278</v>
      </c>
      <c r="K734" s="3">
        <v>4.84</v>
      </c>
      <c r="L734" s="3">
        <v>3.278</v>
      </c>
    </row>
    <row r="735" spans="1:12" x14ac:dyDescent="0.3">
      <c r="A735" s="2">
        <v>45586</v>
      </c>
      <c r="B735" s="1">
        <v>5853.98</v>
      </c>
      <c r="C735" s="1">
        <v>18540.009999999998</v>
      </c>
      <c r="D735">
        <v>116.3265</v>
      </c>
      <c r="E735">
        <v>2604.92</v>
      </c>
      <c r="F735">
        <v>759.95</v>
      </c>
      <c r="G735">
        <v>76.987700000000004</v>
      </c>
      <c r="H735">
        <v>88.744399999999999</v>
      </c>
      <c r="I735" s="3">
        <v>3.25</v>
      </c>
      <c r="J735" s="3">
        <v>3.2789999999999999</v>
      </c>
      <c r="K735" s="3">
        <v>4.82</v>
      </c>
      <c r="L735" s="3">
        <v>3.2639999999999998</v>
      </c>
    </row>
    <row r="736" spans="1:12" x14ac:dyDescent="0.3">
      <c r="A736" s="2">
        <v>45587</v>
      </c>
      <c r="B736" s="1">
        <v>5851.2</v>
      </c>
      <c r="C736" s="1">
        <v>18573.13</v>
      </c>
      <c r="D736">
        <v>116.0746</v>
      </c>
      <c r="E736">
        <v>2570.6999999999998</v>
      </c>
      <c r="F736">
        <v>738.34</v>
      </c>
      <c r="G736">
        <v>76.978399999999993</v>
      </c>
      <c r="H736">
        <v>88.660499999999999</v>
      </c>
      <c r="I736" s="3">
        <v>3.25</v>
      </c>
      <c r="J736" s="3">
        <v>3.2690000000000001</v>
      </c>
      <c r="K736" s="3">
        <v>4.83</v>
      </c>
      <c r="L736" s="3">
        <v>3.266</v>
      </c>
    </row>
    <row r="737" spans="1:12" x14ac:dyDescent="0.3">
      <c r="A737" s="2">
        <v>45588</v>
      </c>
      <c r="B737" s="1">
        <v>5797.42</v>
      </c>
      <c r="C737" s="1">
        <v>18276.650000000001</v>
      </c>
      <c r="D737">
        <v>115.04770000000001</v>
      </c>
      <c r="E737">
        <v>2599.62</v>
      </c>
      <c r="F737">
        <v>745.19</v>
      </c>
      <c r="G737">
        <v>76.931700000000006</v>
      </c>
      <c r="H737">
        <v>88.455399999999997</v>
      </c>
      <c r="I737" s="3">
        <v>3.25</v>
      </c>
      <c r="J737" s="3">
        <v>3.2690000000000001</v>
      </c>
      <c r="K737" s="3">
        <v>4.83</v>
      </c>
      <c r="L737" s="3">
        <v>3.2690000000000001</v>
      </c>
    </row>
    <row r="738" spans="1:12" x14ac:dyDescent="0.3">
      <c r="A738" s="2">
        <v>45589</v>
      </c>
      <c r="B738" s="1">
        <v>5809.86</v>
      </c>
      <c r="C738" s="1">
        <v>18415.490000000002</v>
      </c>
      <c r="D738">
        <v>115.3189</v>
      </c>
      <c r="E738">
        <v>2581.0300000000002</v>
      </c>
      <c r="F738">
        <v>734.59</v>
      </c>
      <c r="G738">
        <v>76.968999999999994</v>
      </c>
      <c r="H738">
        <v>88.6511</v>
      </c>
      <c r="I738" s="3">
        <v>3.25</v>
      </c>
      <c r="J738" s="3">
        <v>3.278</v>
      </c>
      <c r="K738" s="3">
        <v>4.83</v>
      </c>
      <c r="L738" s="3">
        <v>3.2759999999999998</v>
      </c>
    </row>
    <row r="739" spans="1:12" x14ac:dyDescent="0.3">
      <c r="A739" s="2">
        <v>45590</v>
      </c>
      <c r="B739" s="1">
        <v>5808.12</v>
      </c>
      <c r="C739" s="1">
        <v>18518.61</v>
      </c>
      <c r="D739">
        <v>115.1155</v>
      </c>
      <c r="E739">
        <v>2583.27</v>
      </c>
      <c r="F739">
        <v>727.41</v>
      </c>
      <c r="G739">
        <v>76.941000000000003</v>
      </c>
      <c r="H739">
        <v>88.455399999999997</v>
      </c>
      <c r="I739" s="3">
        <v>3.25</v>
      </c>
      <c r="J739" s="3">
        <v>3.2959999999999998</v>
      </c>
      <c r="K739" s="3">
        <v>4.83</v>
      </c>
      <c r="L739" s="3">
        <v>3.2829999999999999</v>
      </c>
    </row>
    <row r="740" spans="1:12" x14ac:dyDescent="0.3">
      <c r="A740" s="2">
        <v>45593</v>
      </c>
      <c r="B740" s="1">
        <v>5823.52</v>
      </c>
      <c r="C740" s="1">
        <v>18567.189999999999</v>
      </c>
      <c r="D740">
        <v>115.7162</v>
      </c>
      <c r="E740">
        <v>2612.4299999999998</v>
      </c>
      <c r="F740">
        <v>740.48</v>
      </c>
      <c r="G740">
        <v>76.903700000000001</v>
      </c>
      <c r="H740">
        <v>88.250299999999996</v>
      </c>
      <c r="I740" s="3">
        <v>3.25</v>
      </c>
      <c r="J740" s="3">
        <v>3.2869999999999999</v>
      </c>
      <c r="K740" s="3">
        <v>4.82</v>
      </c>
      <c r="L740" s="3">
        <v>3.2770000000000001</v>
      </c>
    </row>
    <row r="741" spans="1:12" x14ac:dyDescent="0.3">
      <c r="A741" s="2">
        <v>45594</v>
      </c>
      <c r="B741" s="1">
        <v>5832.92</v>
      </c>
      <c r="C741" s="1">
        <v>18712.75</v>
      </c>
      <c r="D741">
        <v>115.64830000000001</v>
      </c>
      <c r="E741">
        <v>2617.8000000000002</v>
      </c>
      <c r="F741">
        <v>744.18</v>
      </c>
      <c r="G741">
        <v>76.931700000000006</v>
      </c>
      <c r="H741">
        <v>88.287599999999998</v>
      </c>
      <c r="I741" s="3">
        <v>3.25</v>
      </c>
      <c r="J741" s="3">
        <v>3.25</v>
      </c>
      <c r="K741" s="3">
        <v>4.82</v>
      </c>
      <c r="L741" s="3">
        <v>3.2629999999999999</v>
      </c>
    </row>
    <row r="742" spans="1:12" x14ac:dyDescent="0.3">
      <c r="A742" s="2">
        <v>45595</v>
      </c>
      <c r="B742" s="1">
        <v>5813.67</v>
      </c>
      <c r="C742" s="1">
        <v>18607.93</v>
      </c>
      <c r="D742">
        <v>115.1349</v>
      </c>
      <c r="E742">
        <v>2593.79</v>
      </c>
      <c r="F742">
        <v>738.19</v>
      </c>
      <c r="G742">
        <v>76.866399999999999</v>
      </c>
      <c r="H742">
        <v>88.1571</v>
      </c>
      <c r="I742" s="3">
        <v>3.25</v>
      </c>
      <c r="J742" s="3">
        <v>3.226</v>
      </c>
      <c r="K742" s="3">
        <v>4.8099999999999996</v>
      </c>
      <c r="L742" s="3">
        <v>3.2650000000000001</v>
      </c>
    </row>
    <row r="743" spans="1:12" x14ac:dyDescent="0.3">
      <c r="A743" s="2">
        <v>45596</v>
      </c>
      <c r="B743" s="1">
        <v>5705.45</v>
      </c>
      <c r="C743" s="1">
        <v>18095.150000000001</v>
      </c>
      <c r="D743">
        <v>113.4007</v>
      </c>
      <c r="E743">
        <v>2556.15</v>
      </c>
      <c r="F743">
        <v>743.06</v>
      </c>
      <c r="G743">
        <v>76.885000000000005</v>
      </c>
      <c r="H743">
        <v>88.110500000000002</v>
      </c>
      <c r="I743" s="3">
        <v>3.25</v>
      </c>
      <c r="J743" s="3">
        <v>3.278</v>
      </c>
      <c r="K743" s="3">
        <v>4.9000000000000004</v>
      </c>
      <c r="L743" s="3">
        <v>3.2850000000000001</v>
      </c>
    </row>
    <row r="744" spans="1:12" x14ac:dyDescent="0.3">
      <c r="A744" s="2">
        <v>45597</v>
      </c>
      <c r="B744" s="1">
        <v>5728.8</v>
      </c>
      <c r="C744" s="1">
        <v>18239.919999999998</v>
      </c>
      <c r="D744">
        <v>113.8366</v>
      </c>
      <c r="E744">
        <v>2542.36</v>
      </c>
      <c r="F744">
        <v>729.05</v>
      </c>
      <c r="G744">
        <v>76.859899999999996</v>
      </c>
      <c r="H744">
        <v>87.588300000000004</v>
      </c>
      <c r="I744" s="3">
        <v>3.25</v>
      </c>
      <c r="J744" s="3">
        <v>3.222</v>
      </c>
      <c r="K744" s="3">
        <v>4.8600000000000003</v>
      </c>
      <c r="L744" s="3">
        <v>3.2320000000000002</v>
      </c>
    </row>
    <row r="745" spans="1:12" x14ac:dyDescent="0.3">
      <c r="A745" s="2">
        <v>45600</v>
      </c>
      <c r="B745" s="1">
        <v>5712.69</v>
      </c>
      <c r="C745" s="1">
        <v>18179.98</v>
      </c>
      <c r="D745">
        <v>113.8173</v>
      </c>
      <c r="E745">
        <v>2588.9699999999998</v>
      </c>
      <c r="F745">
        <v>754.08</v>
      </c>
      <c r="G745">
        <v>76.9161</v>
      </c>
      <c r="H745">
        <v>88.055800000000005</v>
      </c>
      <c r="I745" s="3">
        <v>3.25</v>
      </c>
      <c r="J745" s="3">
        <v>3.1749999999999998</v>
      </c>
      <c r="K745" s="3">
        <v>4.82</v>
      </c>
      <c r="L745" s="3">
        <v>3.2280000000000002</v>
      </c>
    </row>
    <row r="746" spans="1:12" x14ac:dyDescent="0.3">
      <c r="A746" s="2">
        <v>45601</v>
      </c>
      <c r="B746" s="1">
        <v>5782.76</v>
      </c>
      <c r="C746" s="1">
        <v>18439.169999999998</v>
      </c>
      <c r="D746">
        <v>115.1446</v>
      </c>
      <c r="E746">
        <v>2576.88</v>
      </c>
      <c r="F746">
        <v>751.81</v>
      </c>
      <c r="G746">
        <v>76.897300000000001</v>
      </c>
      <c r="H746">
        <v>88.102599999999995</v>
      </c>
      <c r="I746" s="3">
        <v>3.25</v>
      </c>
      <c r="J746" s="3">
        <v>3.26</v>
      </c>
      <c r="K746" s="3">
        <v>4.82</v>
      </c>
      <c r="L746" s="3">
        <v>3.1920000000000002</v>
      </c>
    </row>
    <row r="747" spans="1:12" x14ac:dyDescent="0.3">
      <c r="A747" s="2">
        <v>45602</v>
      </c>
      <c r="B747" s="1">
        <v>5929.04</v>
      </c>
      <c r="C747" s="1">
        <v>18983.46</v>
      </c>
      <c r="D747">
        <v>116.52030000000001</v>
      </c>
      <c r="E747">
        <v>2563.5100000000002</v>
      </c>
      <c r="F747">
        <v>743.31</v>
      </c>
      <c r="G747">
        <v>76.803700000000006</v>
      </c>
      <c r="H747">
        <v>87.195599999999999</v>
      </c>
      <c r="I747" s="3">
        <v>3.25</v>
      </c>
      <c r="J747" s="3">
        <v>3.2589999999999999</v>
      </c>
      <c r="K747" s="3">
        <v>4.8099999999999996</v>
      </c>
      <c r="L747" s="3">
        <v>3.2360000000000002</v>
      </c>
    </row>
    <row r="748" spans="1:12" x14ac:dyDescent="0.3">
      <c r="A748" s="2">
        <v>45603</v>
      </c>
      <c r="B748" s="1">
        <v>5973.1</v>
      </c>
      <c r="C748" s="1">
        <v>19269.46</v>
      </c>
      <c r="D748">
        <v>117.8282</v>
      </c>
      <c r="E748">
        <v>2564.63</v>
      </c>
      <c r="F748">
        <v>733.52</v>
      </c>
      <c r="G748">
        <v>76.934799999999996</v>
      </c>
      <c r="H748">
        <v>87.896900000000002</v>
      </c>
      <c r="I748" s="3">
        <v>3.25</v>
      </c>
      <c r="J748" s="3">
        <v>3.2610000000000001</v>
      </c>
      <c r="K748" s="3">
        <v>4.82</v>
      </c>
      <c r="L748" s="3">
        <v>3.258</v>
      </c>
    </row>
    <row r="749" spans="1:12" x14ac:dyDescent="0.3">
      <c r="A749" s="2">
        <v>45604</v>
      </c>
      <c r="B749" s="1">
        <v>5995.54</v>
      </c>
      <c r="C749" s="1">
        <v>19286.78</v>
      </c>
      <c r="D749">
        <v>117.51819999999999</v>
      </c>
      <c r="E749">
        <v>2561.15</v>
      </c>
      <c r="F749">
        <v>743.38</v>
      </c>
      <c r="G749">
        <v>76.878600000000006</v>
      </c>
      <c r="H749">
        <v>88.0839</v>
      </c>
      <c r="I749" s="3">
        <v>3.25</v>
      </c>
      <c r="J749" s="3">
        <v>3.27</v>
      </c>
      <c r="K749" s="3">
        <v>4.5999999999999996</v>
      </c>
      <c r="L749" s="3">
        <v>3.2730000000000001</v>
      </c>
    </row>
    <row r="750" spans="1:12" x14ac:dyDescent="0.3">
      <c r="A750" s="2">
        <v>45607</v>
      </c>
      <c r="B750" s="1">
        <v>6001.35</v>
      </c>
      <c r="C750" s="1">
        <v>19298.759999999998</v>
      </c>
      <c r="D750">
        <v>117.6635</v>
      </c>
      <c r="E750">
        <v>2531.66</v>
      </c>
      <c r="F750">
        <v>728.84</v>
      </c>
      <c r="G750">
        <v>76.822400000000002</v>
      </c>
      <c r="H750">
        <v>87.840800000000002</v>
      </c>
      <c r="I750" s="3">
        <v>3.25</v>
      </c>
      <c r="J750" s="3">
        <v>3.2890000000000001</v>
      </c>
      <c r="K750" s="3">
        <v>4.5999999999999996</v>
      </c>
      <c r="L750" s="3">
        <v>3.2770000000000001</v>
      </c>
    </row>
    <row r="751" spans="1:12" x14ac:dyDescent="0.3">
      <c r="A751" s="2">
        <v>45608</v>
      </c>
      <c r="B751" s="1">
        <v>5983.99</v>
      </c>
      <c r="C751" s="1">
        <v>19281.400000000001</v>
      </c>
      <c r="D751">
        <v>116.7916</v>
      </c>
      <c r="E751">
        <v>2482.5700000000002</v>
      </c>
      <c r="F751">
        <v>710.52</v>
      </c>
      <c r="G751">
        <v>76.747500000000002</v>
      </c>
      <c r="H751">
        <v>87.289100000000005</v>
      </c>
      <c r="I751" s="3">
        <v>3.25</v>
      </c>
      <c r="J751" s="3">
        <v>3.2890000000000001</v>
      </c>
      <c r="K751" s="3">
        <v>4.5999999999999996</v>
      </c>
      <c r="L751" s="3">
        <v>3.2730000000000001</v>
      </c>
    </row>
    <row r="752" spans="1:12" x14ac:dyDescent="0.3">
      <c r="A752" s="2">
        <v>45609</v>
      </c>
      <c r="B752" s="1">
        <v>5985.38</v>
      </c>
      <c r="C752" s="1">
        <v>19230.72</v>
      </c>
      <c r="D752">
        <v>116.559</v>
      </c>
      <c r="E752">
        <v>2417.08</v>
      </c>
      <c r="F752">
        <v>689.65</v>
      </c>
      <c r="G752">
        <v>76.859899999999996</v>
      </c>
      <c r="H752">
        <v>87.233000000000004</v>
      </c>
      <c r="I752" s="3">
        <v>3.25</v>
      </c>
      <c r="J752" s="3">
        <v>3.2890000000000001</v>
      </c>
      <c r="K752" s="3">
        <v>4.59</v>
      </c>
      <c r="L752" s="3">
        <v>3.2759999999999998</v>
      </c>
    </row>
    <row r="753" spans="1:12" x14ac:dyDescent="0.3">
      <c r="A753" s="2">
        <v>45610</v>
      </c>
      <c r="B753" s="1">
        <v>5949.17</v>
      </c>
      <c r="C753" s="1">
        <v>19107.650000000001</v>
      </c>
      <c r="D753">
        <v>116.01649999999999</v>
      </c>
      <c r="E753">
        <v>2418.86</v>
      </c>
      <c r="F753">
        <v>681.56</v>
      </c>
      <c r="G753">
        <v>76.747500000000002</v>
      </c>
      <c r="H753">
        <v>87.223600000000005</v>
      </c>
      <c r="I753" s="3">
        <v>3.25</v>
      </c>
      <c r="J753" s="3">
        <v>3.278</v>
      </c>
      <c r="K753" s="3">
        <v>4.58</v>
      </c>
      <c r="L753" s="3">
        <v>3.266</v>
      </c>
    </row>
    <row r="754" spans="1:12" x14ac:dyDescent="0.3">
      <c r="A754" s="2">
        <v>45611</v>
      </c>
      <c r="B754" s="1">
        <v>5870.62</v>
      </c>
      <c r="C754" s="1">
        <v>18680.12</v>
      </c>
      <c r="D754">
        <v>114.94110000000001</v>
      </c>
      <c r="E754">
        <v>2416.86</v>
      </c>
      <c r="F754">
        <v>685.42</v>
      </c>
      <c r="G754">
        <v>76.831800000000001</v>
      </c>
      <c r="H754">
        <v>87.260999999999996</v>
      </c>
      <c r="I754" s="3">
        <v>3.25</v>
      </c>
      <c r="J754" s="3">
        <v>3.278</v>
      </c>
      <c r="K754" s="3">
        <v>4.57</v>
      </c>
      <c r="L754" s="3">
        <v>3.2639999999999998</v>
      </c>
    </row>
    <row r="755" spans="1:12" x14ac:dyDescent="0.3">
      <c r="A755" s="2">
        <v>45614</v>
      </c>
      <c r="B755" s="1">
        <v>5893.62</v>
      </c>
      <c r="C755" s="1">
        <v>18791.810000000001</v>
      </c>
      <c r="D755">
        <v>115.5127</v>
      </c>
      <c r="E755">
        <v>2469.0700000000002</v>
      </c>
      <c r="F755">
        <v>689.55</v>
      </c>
      <c r="G755">
        <v>76.888000000000005</v>
      </c>
      <c r="H755">
        <v>87.457400000000007</v>
      </c>
      <c r="I755" s="3">
        <v>3.25</v>
      </c>
      <c r="J755" s="3">
        <v>3.2690000000000001</v>
      </c>
      <c r="K755" s="3">
        <v>4.57</v>
      </c>
      <c r="L755" s="3">
        <v>3.2669999999999999</v>
      </c>
    </row>
    <row r="756" spans="1:12" x14ac:dyDescent="0.3">
      <c r="A756" s="2">
        <v>45615</v>
      </c>
      <c r="B756" s="1">
        <v>5916.98</v>
      </c>
      <c r="C756" s="1">
        <v>18987.47</v>
      </c>
      <c r="D756">
        <v>115.83240000000001</v>
      </c>
      <c r="E756">
        <v>2471.9499999999998</v>
      </c>
      <c r="F756">
        <v>686.12</v>
      </c>
      <c r="G756">
        <v>76.888000000000005</v>
      </c>
      <c r="H756">
        <v>87.644400000000005</v>
      </c>
      <c r="I756" s="3">
        <v>3.25</v>
      </c>
      <c r="J756" s="3">
        <v>3.2690000000000001</v>
      </c>
      <c r="K756" s="3">
        <v>4.57</v>
      </c>
      <c r="L756" s="3">
        <v>3.262</v>
      </c>
    </row>
    <row r="757" spans="1:12" x14ac:dyDescent="0.3">
      <c r="A757" s="2">
        <v>45616</v>
      </c>
      <c r="B757" s="1">
        <v>5917.11</v>
      </c>
      <c r="C757" s="1">
        <v>18966.14</v>
      </c>
      <c r="D757">
        <v>115.83240000000001</v>
      </c>
      <c r="E757">
        <v>2482.29</v>
      </c>
      <c r="F757">
        <v>682.91</v>
      </c>
      <c r="G757">
        <v>76.850499999999997</v>
      </c>
      <c r="H757">
        <v>87.513499999999993</v>
      </c>
      <c r="I757" s="3">
        <v>3.25</v>
      </c>
      <c r="J757" s="3">
        <v>3.26</v>
      </c>
      <c r="K757" s="3">
        <v>4.5599999999999996</v>
      </c>
      <c r="L757" s="3">
        <v>3.266</v>
      </c>
    </row>
    <row r="758" spans="1:12" x14ac:dyDescent="0.3">
      <c r="A758" s="2">
        <v>45617</v>
      </c>
      <c r="B758" s="1">
        <v>5948.71</v>
      </c>
      <c r="C758" s="1">
        <v>18972.419999999998</v>
      </c>
      <c r="D758">
        <v>116.2684</v>
      </c>
      <c r="E758">
        <v>2480.63</v>
      </c>
      <c r="F758">
        <v>680.67</v>
      </c>
      <c r="G758">
        <v>76.831800000000001</v>
      </c>
      <c r="H758">
        <v>87.466800000000006</v>
      </c>
      <c r="I758" s="3">
        <v>3.25</v>
      </c>
      <c r="J758" s="3">
        <v>3.28</v>
      </c>
      <c r="K758" s="3">
        <v>4.57</v>
      </c>
      <c r="L758" s="3">
        <v>3.2709999999999999</v>
      </c>
    </row>
    <row r="759" spans="1:12" x14ac:dyDescent="0.3">
      <c r="A759" s="2">
        <v>45618</v>
      </c>
      <c r="B759" s="1">
        <v>5969.34</v>
      </c>
      <c r="C759" s="1">
        <v>19003.650000000001</v>
      </c>
      <c r="D759">
        <v>116.685</v>
      </c>
      <c r="E759">
        <v>2501.2399999999998</v>
      </c>
      <c r="F759">
        <v>677.01</v>
      </c>
      <c r="G759">
        <v>76.822400000000002</v>
      </c>
      <c r="H759">
        <v>87.522900000000007</v>
      </c>
      <c r="I759" s="3">
        <v>3.25</v>
      </c>
      <c r="J759" s="3">
        <v>3.2970000000000002</v>
      </c>
      <c r="K759" s="3">
        <v>4.57</v>
      </c>
      <c r="L759" s="3">
        <v>3.2850000000000001</v>
      </c>
    </row>
    <row r="760" spans="1:12" x14ac:dyDescent="0.3">
      <c r="A760" s="2">
        <v>45621</v>
      </c>
      <c r="B760" s="1">
        <v>5987.37</v>
      </c>
      <c r="C760" s="1">
        <v>19054.84</v>
      </c>
      <c r="D760">
        <v>117.0919</v>
      </c>
      <c r="E760">
        <v>2534.34</v>
      </c>
      <c r="F760">
        <v>696.83</v>
      </c>
      <c r="G760">
        <v>76.972300000000004</v>
      </c>
      <c r="H760">
        <v>88.467299999999994</v>
      </c>
      <c r="I760" s="3">
        <v>3.25</v>
      </c>
      <c r="J760" s="3">
        <v>3.2970000000000002</v>
      </c>
      <c r="K760" s="3">
        <v>4.58</v>
      </c>
      <c r="L760" s="3">
        <v>3.29</v>
      </c>
    </row>
    <row r="761" spans="1:12" x14ac:dyDescent="0.3">
      <c r="A761" s="2">
        <v>45622</v>
      </c>
      <c r="B761" s="1">
        <v>6021.63</v>
      </c>
      <c r="C761" s="1">
        <v>19175.580000000002</v>
      </c>
      <c r="D761">
        <v>117.2663</v>
      </c>
      <c r="E761">
        <v>2520.36</v>
      </c>
      <c r="F761">
        <v>693.15</v>
      </c>
      <c r="G761">
        <v>76.972300000000004</v>
      </c>
      <c r="H761">
        <v>88.280299999999997</v>
      </c>
      <c r="I761" s="3">
        <v>3.25</v>
      </c>
      <c r="J761" s="3">
        <v>3.2869999999999999</v>
      </c>
      <c r="K761" s="3">
        <v>4.58</v>
      </c>
      <c r="L761" s="3">
        <v>3.2669999999999999</v>
      </c>
    </row>
    <row r="762" spans="1:12" x14ac:dyDescent="0.3">
      <c r="A762" s="2">
        <v>45623</v>
      </c>
      <c r="B762" s="1">
        <v>5998.74</v>
      </c>
      <c r="C762" s="1">
        <v>19060.48</v>
      </c>
      <c r="D762">
        <v>117.17910000000001</v>
      </c>
      <c r="E762">
        <v>2503.06</v>
      </c>
      <c r="F762">
        <v>692</v>
      </c>
      <c r="G762">
        <v>77.019099999999995</v>
      </c>
      <c r="H762">
        <v>88.635599999999997</v>
      </c>
      <c r="I762" s="3">
        <v>3.25</v>
      </c>
      <c r="J762" s="3">
        <v>3.2669999999999999</v>
      </c>
      <c r="K762" s="3">
        <v>4.57</v>
      </c>
      <c r="L762" s="3">
        <v>3.2629999999999999</v>
      </c>
    </row>
    <row r="763" spans="1:12" x14ac:dyDescent="0.3">
      <c r="A763" s="2">
        <v>45624</v>
      </c>
      <c r="B763" s="1">
        <v>5998.74</v>
      </c>
      <c r="C763" s="1">
        <v>19060.48</v>
      </c>
      <c r="D763">
        <v>117.17910000000001</v>
      </c>
      <c r="E763">
        <v>2504.67</v>
      </c>
      <c r="F763">
        <v>694.39</v>
      </c>
      <c r="G763">
        <v>77.019099999999995</v>
      </c>
      <c r="H763">
        <v>88.635599999999997</v>
      </c>
      <c r="I763" s="3">
        <v>3</v>
      </c>
      <c r="J763" s="3">
        <v>3.0640000000000001</v>
      </c>
      <c r="K763" s="3">
        <v>4.57</v>
      </c>
      <c r="L763" s="3">
        <v>3.0569999999999999</v>
      </c>
    </row>
    <row r="764" spans="1:12" x14ac:dyDescent="0.3">
      <c r="A764" s="2">
        <v>45625</v>
      </c>
      <c r="B764" s="1">
        <v>6032.38</v>
      </c>
      <c r="C764" s="1">
        <v>19218.169999999998</v>
      </c>
      <c r="D764">
        <v>117.9735</v>
      </c>
      <c r="E764">
        <v>2455.91</v>
      </c>
      <c r="F764">
        <v>678.19</v>
      </c>
      <c r="G764">
        <v>77.112799999999993</v>
      </c>
      <c r="H764">
        <v>89.009600000000006</v>
      </c>
      <c r="I764" s="3">
        <v>3</v>
      </c>
      <c r="J764" s="3">
        <v>3.0550000000000002</v>
      </c>
      <c r="K764" s="3">
        <v>4.59</v>
      </c>
      <c r="L764" s="3">
        <v>3.0649999999999999</v>
      </c>
    </row>
    <row r="765" spans="1:12" x14ac:dyDescent="0.3">
      <c r="A765" s="2">
        <v>45628</v>
      </c>
      <c r="B765" s="1">
        <v>6047.15</v>
      </c>
      <c r="C765" s="1">
        <v>19403.95</v>
      </c>
      <c r="D765">
        <v>118.22539999999999</v>
      </c>
      <c r="E765">
        <v>2454.48</v>
      </c>
      <c r="F765">
        <v>675.84</v>
      </c>
      <c r="G765">
        <v>77.108400000000003</v>
      </c>
      <c r="H765">
        <v>89.002200000000002</v>
      </c>
      <c r="I765" s="3">
        <v>3</v>
      </c>
      <c r="J765" s="3">
        <v>3.044</v>
      </c>
      <c r="K765" s="3">
        <v>4.6399999999999997</v>
      </c>
      <c r="L765" s="3">
        <v>3.0329999999999999</v>
      </c>
    </row>
    <row r="766" spans="1:12" x14ac:dyDescent="0.3">
      <c r="A766" s="2">
        <v>45629</v>
      </c>
      <c r="B766" s="1">
        <v>6049.88</v>
      </c>
      <c r="C766" s="1">
        <v>19480.91</v>
      </c>
      <c r="D766">
        <v>118.43859999999999</v>
      </c>
      <c r="E766">
        <v>2500.1</v>
      </c>
      <c r="F766">
        <v>690.8</v>
      </c>
      <c r="G766">
        <v>77.117800000000003</v>
      </c>
      <c r="H766">
        <v>88.748900000000006</v>
      </c>
      <c r="I766" s="3">
        <v>3</v>
      </c>
      <c r="J766" s="3">
        <v>3.0169999999999999</v>
      </c>
      <c r="K766" s="3">
        <v>4.6399999999999997</v>
      </c>
      <c r="L766" s="3">
        <v>3.02</v>
      </c>
    </row>
    <row r="767" spans="1:12" x14ac:dyDescent="0.3">
      <c r="A767" s="2">
        <v>45630</v>
      </c>
      <c r="B767" s="1">
        <v>6086.49</v>
      </c>
      <c r="C767" s="1">
        <v>19735.12</v>
      </c>
      <c r="D767">
        <v>119.06829999999999</v>
      </c>
      <c r="E767">
        <v>2464</v>
      </c>
      <c r="F767">
        <v>677.15</v>
      </c>
      <c r="G767">
        <v>77.202399999999997</v>
      </c>
      <c r="H767">
        <v>89.086600000000004</v>
      </c>
      <c r="I767" s="3">
        <v>3</v>
      </c>
      <c r="J767" s="3">
        <v>3.0459999999999998</v>
      </c>
      <c r="K767" s="3">
        <v>4.59</v>
      </c>
      <c r="L767" s="3">
        <v>3.0379999999999998</v>
      </c>
    </row>
    <row r="768" spans="1:12" x14ac:dyDescent="0.3">
      <c r="A768" s="2">
        <v>45631</v>
      </c>
      <c r="B768" s="1">
        <v>6075.11</v>
      </c>
      <c r="C768" s="1">
        <v>19700.72</v>
      </c>
      <c r="D768">
        <v>119.1361</v>
      </c>
      <c r="E768">
        <v>2441.85</v>
      </c>
      <c r="F768">
        <v>670.94</v>
      </c>
      <c r="G768">
        <v>77.202399999999997</v>
      </c>
      <c r="H768">
        <v>89.077200000000005</v>
      </c>
      <c r="I768" s="3">
        <v>3</v>
      </c>
      <c r="J768" s="3">
        <v>2.9969999999999999</v>
      </c>
      <c r="K768" s="3">
        <v>4.59</v>
      </c>
      <c r="L768" s="3">
        <v>3.0110000000000001</v>
      </c>
    </row>
    <row r="769" spans="1:12" x14ac:dyDescent="0.3">
      <c r="A769" s="2">
        <v>45632</v>
      </c>
      <c r="B769" s="1">
        <v>6090.27</v>
      </c>
      <c r="C769" s="1">
        <v>19859.77</v>
      </c>
      <c r="D769">
        <v>119.2814</v>
      </c>
      <c r="E769">
        <v>2428.16</v>
      </c>
      <c r="F769">
        <v>661.33</v>
      </c>
      <c r="G769">
        <v>77.277600000000007</v>
      </c>
      <c r="H769">
        <v>89.358599999999996</v>
      </c>
      <c r="I769" s="3">
        <v>3</v>
      </c>
      <c r="J769" s="3">
        <v>2.9870000000000001</v>
      </c>
      <c r="K769" s="3">
        <v>4.5999999999999996</v>
      </c>
      <c r="L769" s="3">
        <v>3.024</v>
      </c>
    </row>
    <row r="770" spans="1:12" x14ac:dyDescent="0.3">
      <c r="A770" s="2">
        <v>45635</v>
      </c>
      <c r="B770" s="1">
        <v>6052.85</v>
      </c>
      <c r="C770" s="1">
        <v>19736.689999999999</v>
      </c>
      <c r="D770">
        <v>119.0005</v>
      </c>
      <c r="E770">
        <v>2360.58</v>
      </c>
      <c r="F770">
        <v>627.01</v>
      </c>
      <c r="G770">
        <v>77.249399999999994</v>
      </c>
      <c r="H770">
        <v>89.049099999999996</v>
      </c>
      <c r="I770" s="3">
        <v>3</v>
      </c>
      <c r="J770" s="3">
        <v>3.0150000000000001</v>
      </c>
      <c r="K770" s="3">
        <v>4.63</v>
      </c>
      <c r="L770" s="3">
        <v>3.0219999999999998</v>
      </c>
    </row>
    <row r="771" spans="1:12" x14ac:dyDescent="0.3">
      <c r="A771" s="2">
        <v>45636</v>
      </c>
      <c r="B771" s="1">
        <v>6034.91</v>
      </c>
      <c r="C771" s="1">
        <v>19687.240000000002</v>
      </c>
      <c r="D771">
        <v>118.2932</v>
      </c>
      <c r="E771">
        <v>2417.84</v>
      </c>
      <c r="F771">
        <v>661.59</v>
      </c>
      <c r="G771">
        <v>77.239999999999995</v>
      </c>
      <c r="H771">
        <v>88.889600000000002</v>
      </c>
      <c r="I771" s="3">
        <v>3</v>
      </c>
      <c r="J771" s="3">
        <v>3.03</v>
      </c>
      <c r="K771" s="3">
        <v>4.6399999999999997</v>
      </c>
      <c r="L771" s="3">
        <v>2.948</v>
      </c>
    </row>
    <row r="772" spans="1:12" x14ac:dyDescent="0.3">
      <c r="A772" s="2">
        <v>45637</v>
      </c>
      <c r="B772" s="1">
        <v>6084.19</v>
      </c>
      <c r="C772" s="1">
        <v>20034.89</v>
      </c>
      <c r="D772">
        <v>119.1361</v>
      </c>
      <c r="E772">
        <v>2442.5100000000002</v>
      </c>
      <c r="F772">
        <v>675.92</v>
      </c>
      <c r="G772">
        <v>77.221199999999996</v>
      </c>
      <c r="H772">
        <v>88.626999999999995</v>
      </c>
      <c r="I772" s="3">
        <v>3</v>
      </c>
      <c r="J772" s="3">
        <v>3.03</v>
      </c>
      <c r="K772" s="3">
        <v>4.62</v>
      </c>
      <c r="L772" s="3">
        <v>2.984</v>
      </c>
    </row>
    <row r="773" spans="1:12" x14ac:dyDescent="0.3">
      <c r="A773" s="2">
        <v>45638</v>
      </c>
      <c r="B773" s="1">
        <v>6051.25</v>
      </c>
      <c r="C773" s="1">
        <v>19902.84</v>
      </c>
      <c r="D773">
        <v>118.3901</v>
      </c>
      <c r="E773">
        <v>2482.12</v>
      </c>
      <c r="F773">
        <v>683.35</v>
      </c>
      <c r="G773">
        <v>77.183599999999998</v>
      </c>
      <c r="H773">
        <v>88.289299999999997</v>
      </c>
      <c r="I773" s="3">
        <v>3</v>
      </c>
      <c r="J773" s="3">
        <v>3.0350000000000001</v>
      </c>
      <c r="K773" s="3">
        <v>4.62</v>
      </c>
      <c r="L773" s="3">
        <v>3.0219999999999998</v>
      </c>
    </row>
    <row r="774" spans="1:12" x14ac:dyDescent="0.3">
      <c r="A774" s="2">
        <v>45639</v>
      </c>
      <c r="B774" s="1">
        <v>6051.09</v>
      </c>
      <c r="C774" s="1">
        <v>19926.72</v>
      </c>
      <c r="D774">
        <v>118.25449999999999</v>
      </c>
      <c r="E774">
        <v>2494.46</v>
      </c>
      <c r="F774">
        <v>693.73</v>
      </c>
      <c r="G774">
        <v>77.146000000000001</v>
      </c>
      <c r="H774">
        <v>87.876599999999996</v>
      </c>
      <c r="I774" s="3">
        <v>3</v>
      </c>
      <c r="J774" s="3">
        <v>3.0350000000000001</v>
      </c>
      <c r="K774" s="3">
        <v>4.5999999999999996</v>
      </c>
      <c r="L774" s="3">
        <v>3.0190000000000001</v>
      </c>
    </row>
    <row r="775" spans="1:12" x14ac:dyDescent="0.3">
      <c r="A775" s="2">
        <v>45642</v>
      </c>
      <c r="B775" s="1">
        <v>6074.08</v>
      </c>
      <c r="C775" s="1">
        <v>20173.89</v>
      </c>
      <c r="D775">
        <v>118.4967</v>
      </c>
      <c r="E775">
        <v>2488.9699999999998</v>
      </c>
      <c r="F775">
        <v>698.53</v>
      </c>
      <c r="G775">
        <v>77.1554</v>
      </c>
      <c r="H775">
        <v>87.904799999999994</v>
      </c>
      <c r="I775" s="3">
        <v>3</v>
      </c>
      <c r="J775" s="3">
        <v>3.0249999999999999</v>
      </c>
      <c r="K775" s="3">
        <v>4.6500000000000004</v>
      </c>
      <c r="L775" s="3">
        <v>3.0219999999999998</v>
      </c>
    </row>
    <row r="776" spans="1:12" x14ac:dyDescent="0.3">
      <c r="A776" s="2">
        <v>45643</v>
      </c>
      <c r="B776" s="1">
        <v>6050.61</v>
      </c>
      <c r="C776" s="1">
        <v>20109.060000000001</v>
      </c>
      <c r="D776">
        <v>118.04340000000001</v>
      </c>
      <c r="E776">
        <v>2456.81</v>
      </c>
      <c r="F776">
        <v>694.47</v>
      </c>
      <c r="G776">
        <v>77.1648</v>
      </c>
      <c r="H776">
        <v>87.904799999999994</v>
      </c>
      <c r="I776" s="3">
        <v>3</v>
      </c>
      <c r="J776" s="3">
        <v>3.016</v>
      </c>
      <c r="K776" s="3">
        <v>4.62</v>
      </c>
      <c r="L776" s="3">
        <v>3.0110000000000001</v>
      </c>
    </row>
    <row r="777" spans="1:12" x14ac:dyDescent="0.3">
      <c r="A777" s="2">
        <v>45644</v>
      </c>
      <c r="B777" s="1">
        <v>5872.16</v>
      </c>
      <c r="C777" s="1">
        <v>19392.689999999999</v>
      </c>
      <c r="D777">
        <v>114.5347</v>
      </c>
      <c r="E777">
        <v>2484.4299999999998</v>
      </c>
      <c r="F777">
        <v>697.57</v>
      </c>
      <c r="G777">
        <v>77.023700000000005</v>
      </c>
      <c r="H777">
        <v>87.224900000000005</v>
      </c>
      <c r="I777" s="3">
        <v>3</v>
      </c>
      <c r="J777" s="3">
        <v>2.9820000000000002</v>
      </c>
      <c r="K777" s="3">
        <v>4.57</v>
      </c>
      <c r="L777" s="3">
        <v>3.0179999999999998</v>
      </c>
    </row>
    <row r="778" spans="1:12" x14ac:dyDescent="0.3">
      <c r="A778" s="2">
        <v>45645</v>
      </c>
      <c r="B778" s="1">
        <v>5867.08</v>
      </c>
      <c r="C778" s="1">
        <v>19372.77</v>
      </c>
      <c r="D778">
        <v>114.5445</v>
      </c>
      <c r="E778">
        <v>2435.9299999999998</v>
      </c>
      <c r="F778">
        <v>684.36</v>
      </c>
      <c r="G778">
        <v>77.108599999999996</v>
      </c>
      <c r="H778">
        <v>86.829599999999999</v>
      </c>
      <c r="I778" s="3">
        <v>3</v>
      </c>
      <c r="J778" s="3">
        <v>3.016</v>
      </c>
      <c r="K778" s="3">
        <v>4.3</v>
      </c>
      <c r="L778" s="3">
        <v>3.0339999999999998</v>
      </c>
    </row>
    <row r="779" spans="1:12" x14ac:dyDescent="0.3">
      <c r="A779" s="2">
        <v>45646</v>
      </c>
      <c r="B779" s="1">
        <v>5930.85</v>
      </c>
      <c r="C779" s="1">
        <v>19572.599999999999</v>
      </c>
      <c r="D779">
        <v>115.4436</v>
      </c>
      <c r="E779">
        <v>2404.15</v>
      </c>
      <c r="F779">
        <v>668.31</v>
      </c>
      <c r="G779">
        <v>77.117999999999995</v>
      </c>
      <c r="H779">
        <v>87.149600000000007</v>
      </c>
      <c r="I779" s="3">
        <v>3</v>
      </c>
      <c r="J779" s="3">
        <v>3.1150000000000002</v>
      </c>
      <c r="K779" s="3">
        <v>4.3</v>
      </c>
      <c r="L779" s="3">
        <v>3.1040000000000001</v>
      </c>
    </row>
    <row r="780" spans="1:12" x14ac:dyDescent="0.3">
      <c r="A780" s="2">
        <v>45649</v>
      </c>
      <c r="B780" s="1">
        <v>5974.07</v>
      </c>
      <c r="C780" s="1">
        <v>19764.88</v>
      </c>
      <c r="D780">
        <v>116.1571</v>
      </c>
      <c r="E780">
        <v>2442.0100000000002</v>
      </c>
      <c r="F780">
        <v>679.24</v>
      </c>
      <c r="G780">
        <v>77.070899999999995</v>
      </c>
      <c r="H780">
        <v>86.7637</v>
      </c>
      <c r="I780" s="3">
        <v>3</v>
      </c>
      <c r="J780" s="3">
        <v>3.113</v>
      </c>
      <c r="K780" s="3">
        <v>4.3099999999999996</v>
      </c>
      <c r="L780" s="3">
        <v>3.1030000000000002</v>
      </c>
    </row>
    <row r="781" spans="1:12" x14ac:dyDescent="0.3">
      <c r="A781" s="2">
        <v>45650</v>
      </c>
      <c r="B781" s="1">
        <v>6040.04</v>
      </c>
      <c r="C781" s="1">
        <v>20031.13</v>
      </c>
      <c r="D781">
        <v>117.1344</v>
      </c>
      <c r="E781">
        <v>2440.52</v>
      </c>
      <c r="F781">
        <v>680.11</v>
      </c>
      <c r="G781">
        <v>77.108599999999996</v>
      </c>
      <c r="H781">
        <v>86.8108</v>
      </c>
      <c r="I781" s="3">
        <v>3</v>
      </c>
      <c r="J781" s="3">
        <v>3.093</v>
      </c>
      <c r="K781" s="3">
        <v>4.4000000000000004</v>
      </c>
      <c r="L781" s="3">
        <v>3.0670000000000002</v>
      </c>
    </row>
    <row r="782" spans="1:12" x14ac:dyDescent="0.3">
      <c r="A782" s="2">
        <v>45651</v>
      </c>
      <c r="B782" s="1">
        <v>6040.04</v>
      </c>
      <c r="C782" s="1">
        <v>20031.13</v>
      </c>
      <c r="D782">
        <v>117.1344</v>
      </c>
      <c r="E782">
        <v>2440.52</v>
      </c>
      <c r="F782">
        <v>680.11</v>
      </c>
      <c r="G782">
        <v>77.108599999999996</v>
      </c>
      <c r="H782">
        <v>86.8108</v>
      </c>
      <c r="I782" s="3">
        <v>3</v>
      </c>
      <c r="J782" s="3">
        <v>3.093</v>
      </c>
      <c r="K782" s="3">
        <v>4.4000000000000004</v>
      </c>
      <c r="L782" s="3">
        <v>3</v>
      </c>
    </row>
    <row r="783" spans="1:12" x14ac:dyDescent="0.3">
      <c r="A783" s="2">
        <v>45652</v>
      </c>
      <c r="B783" s="1">
        <v>6037.59</v>
      </c>
      <c r="C783" s="1">
        <v>20020.36</v>
      </c>
      <c r="D783">
        <v>117.23220000000001</v>
      </c>
      <c r="E783">
        <v>2429.67</v>
      </c>
      <c r="F783">
        <v>675.64</v>
      </c>
      <c r="G783">
        <v>77.127399999999994</v>
      </c>
      <c r="H783">
        <v>86.8767</v>
      </c>
      <c r="I783" s="3">
        <v>3</v>
      </c>
      <c r="J783" s="3">
        <v>3.0950000000000002</v>
      </c>
      <c r="K783" s="3">
        <v>4.53</v>
      </c>
      <c r="L783" s="3">
        <v>3.16</v>
      </c>
    </row>
    <row r="784" spans="1:12" x14ac:dyDescent="0.3">
      <c r="A784" s="2">
        <v>45653</v>
      </c>
      <c r="B784" s="1">
        <v>5970.84</v>
      </c>
      <c r="C784" s="1">
        <v>19722.03</v>
      </c>
      <c r="D784">
        <v>116.3428</v>
      </c>
      <c r="E784">
        <v>2404.77</v>
      </c>
      <c r="F784">
        <v>665.97</v>
      </c>
      <c r="G784">
        <v>77.146299999999997</v>
      </c>
      <c r="H784">
        <v>86.650800000000004</v>
      </c>
      <c r="I784" s="3">
        <v>3</v>
      </c>
      <c r="J784" s="3">
        <v>3.0960000000000001</v>
      </c>
      <c r="K784" s="3">
        <v>4.46</v>
      </c>
      <c r="L784" s="3">
        <v>3.1</v>
      </c>
    </row>
    <row r="785" spans="1:12" x14ac:dyDescent="0.3">
      <c r="A785" s="2">
        <v>45656</v>
      </c>
      <c r="B785" s="1">
        <v>5906.94</v>
      </c>
      <c r="C785" s="1">
        <v>19486.79</v>
      </c>
      <c r="D785">
        <v>115.1504</v>
      </c>
      <c r="E785">
        <v>2399.4899999999998</v>
      </c>
      <c r="F785">
        <v>678.19</v>
      </c>
      <c r="G785">
        <v>77.259500000000003</v>
      </c>
      <c r="H785">
        <v>87.159000000000006</v>
      </c>
      <c r="I785" s="3">
        <v>3</v>
      </c>
      <c r="J785" s="3">
        <v>3.0939999999999999</v>
      </c>
      <c r="K785" s="3">
        <v>4.37</v>
      </c>
      <c r="L785" s="3">
        <v>3.06</v>
      </c>
    </row>
    <row r="786" spans="1:12" x14ac:dyDescent="0.3">
      <c r="A786" s="2">
        <v>45657</v>
      </c>
      <c r="B786" s="1">
        <v>5881.63</v>
      </c>
      <c r="C786" s="1">
        <v>19310.79</v>
      </c>
      <c r="D786">
        <v>114.8377</v>
      </c>
      <c r="E786">
        <v>2399.4899999999998</v>
      </c>
      <c r="F786">
        <v>678.19</v>
      </c>
      <c r="G786">
        <v>77.306600000000003</v>
      </c>
      <c r="H786">
        <v>86.998999999999995</v>
      </c>
      <c r="I786" s="3">
        <v>3</v>
      </c>
      <c r="J786" s="3">
        <v>3.4060000000000001</v>
      </c>
      <c r="K786" s="3">
        <v>4.49</v>
      </c>
      <c r="L786" s="3">
        <v>3.327</v>
      </c>
    </row>
    <row r="787" spans="1:12" x14ac:dyDescent="0.3">
      <c r="A787" s="2">
        <v>45658</v>
      </c>
      <c r="B787" s="1">
        <v>5881.63</v>
      </c>
      <c r="C787" s="1">
        <v>19310.79</v>
      </c>
      <c r="D787">
        <v>114.8377</v>
      </c>
      <c r="E787">
        <v>2399.4899999999998</v>
      </c>
      <c r="F787">
        <v>678.19</v>
      </c>
      <c r="G787">
        <v>77.306600000000003</v>
      </c>
      <c r="H787">
        <v>86.998999999999995</v>
      </c>
      <c r="I787" s="3">
        <v>3</v>
      </c>
      <c r="J787" s="3">
        <v>3.4060000000000001</v>
      </c>
      <c r="K787" s="3">
        <v>4.49</v>
      </c>
      <c r="L787" s="3">
        <v>3</v>
      </c>
    </row>
    <row r="788" spans="1:12" x14ac:dyDescent="0.3">
      <c r="A788" s="2">
        <v>45659</v>
      </c>
      <c r="B788" s="1">
        <v>5868.55</v>
      </c>
      <c r="C788" s="1">
        <v>19280.79</v>
      </c>
      <c r="D788">
        <v>114.6129</v>
      </c>
      <c r="E788">
        <v>2398.94</v>
      </c>
      <c r="F788">
        <v>686.63</v>
      </c>
      <c r="G788">
        <v>77.287800000000004</v>
      </c>
      <c r="H788">
        <v>87.046099999999996</v>
      </c>
      <c r="I788" s="3">
        <v>3</v>
      </c>
      <c r="J788" s="3">
        <v>3.0649999999999999</v>
      </c>
      <c r="K788" s="3">
        <v>4.4000000000000004</v>
      </c>
      <c r="L788" s="3">
        <v>3.0289999999999999</v>
      </c>
    </row>
    <row r="789" spans="1:12" x14ac:dyDescent="0.3">
      <c r="A789" s="2">
        <v>45660</v>
      </c>
      <c r="B789" s="1">
        <v>5942.47</v>
      </c>
      <c r="C789" s="1">
        <v>19621.68</v>
      </c>
      <c r="D789">
        <v>115.8053</v>
      </c>
      <c r="E789">
        <v>2441.92</v>
      </c>
      <c r="F789">
        <v>705.76</v>
      </c>
      <c r="G789">
        <v>77.287800000000004</v>
      </c>
      <c r="H789">
        <v>86.904899999999998</v>
      </c>
      <c r="I789" s="3">
        <v>3</v>
      </c>
      <c r="J789" s="3">
        <v>3.012</v>
      </c>
      <c r="K789" s="3">
        <v>4.3099999999999996</v>
      </c>
      <c r="L789" s="3">
        <v>2.9670000000000001</v>
      </c>
    </row>
    <row r="790" spans="1:12" x14ac:dyDescent="0.3">
      <c r="A790" s="2">
        <v>45663</v>
      </c>
      <c r="B790" s="1">
        <v>5975.38</v>
      </c>
      <c r="C790" s="1">
        <v>19864.98</v>
      </c>
      <c r="D790">
        <v>116.6067</v>
      </c>
      <c r="E790">
        <v>2488.64</v>
      </c>
      <c r="F790">
        <v>717.96</v>
      </c>
      <c r="G790">
        <v>77.306600000000003</v>
      </c>
      <c r="H790">
        <v>86.8202</v>
      </c>
      <c r="I790" s="3">
        <v>3</v>
      </c>
      <c r="J790" s="3">
        <v>3.036</v>
      </c>
      <c r="K790" s="3">
        <v>4.2699999999999996</v>
      </c>
      <c r="L790" s="3">
        <v>3.032</v>
      </c>
    </row>
    <row r="791" spans="1:12" x14ac:dyDescent="0.3">
      <c r="A791" s="2">
        <v>45664</v>
      </c>
      <c r="B791" s="1">
        <v>5909.03</v>
      </c>
      <c r="C791" s="1">
        <v>19489.68</v>
      </c>
      <c r="D791">
        <v>115.48269999999999</v>
      </c>
      <c r="E791">
        <v>2492.1</v>
      </c>
      <c r="F791">
        <v>718.29</v>
      </c>
      <c r="G791">
        <v>77.259500000000003</v>
      </c>
      <c r="H791">
        <v>86.424999999999997</v>
      </c>
      <c r="I791" s="3">
        <v>3</v>
      </c>
      <c r="J791" s="3">
        <v>3.0750000000000002</v>
      </c>
      <c r="K791" s="3">
        <v>4.2699999999999996</v>
      </c>
      <c r="L791" s="3">
        <v>3</v>
      </c>
    </row>
    <row r="792" spans="1:12" x14ac:dyDescent="0.3">
      <c r="A792" s="2">
        <v>45665</v>
      </c>
      <c r="B792" s="1">
        <v>5918.25</v>
      </c>
      <c r="C792" s="1">
        <v>19478.88</v>
      </c>
      <c r="D792">
        <v>115.49250000000001</v>
      </c>
      <c r="E792">
        <v>2521.0500000000002</v>
      </c>
      <c r="F792">
        <v>719.63</v>
      </c>
      <c r="G792">
        <v>77.306600000000003</v>
      </c>
      <c r="H792">
        <v>86.575500000000005</v>
      </c>
      <c r="I792" s="3">
        <v>3</v>
      </c>
      <c r="J792" s="3">
        <v>3.0739999999999998</v>
      </c>
      <c r="K792" s="3">
        <v>4.29</v>
      </c>
      <c r="L792" s="3">
        <v>3.0030000000000001</v>
      </c>
    </row>
    <row r="793" spans="1:12" x14ac:dyDescent="0.3">
      <c r="A793" s="2">
        <v>45666</v>
      </c>
      <c r="B793" s="1">
        <v>5918.25</v>
      </c>
      <c r="C793" s="1">
        <v>19478.88</v>
      </c>
      <c r="D793">
        <v>115.49250000000001</v>
      </c>
      <c r="E793">
        <v>2521.9</v>
      </c>
      <c r="F793">
        <v>723.52</v>
      </c>
      <c r="G793">
        <v>77.306600000000003</v>
      </c>
      <c r="H793">
        <v>86.575500000000005</v>
      </c>
      <c r="I793" s="3">
        <v>3</v>
      </c>
      <c r="J793" s="3">
        <v>3.0920000000000001</v>
      </c>
      <c r="K793" s="3">
        <v>4.3</v>
      </c>
      <c r="L793" s="3">
        <v>3.0790000000000002</v>
      </c>
    </row>
    <row r="794" spans="1:12" x14ac:dyDescent="0.3">
      <c r="A794" s="2">
        <v>45667</v>
      </c>
      <c r="B794" s="1">
        <v>5827.04</v>
      </c>
      <c r="C794" s="1">
        <v>19161.63</v>
      </c>
      <c r="D794">
        <v>113.7333</v>
      </c>
      <c r="E794">
        <v>2515.7800000000002</v>
      </c>
      <c r="F794">
        <v>717.89</v>
      </c>
      <c r="G794">
        <v>77.165199999999999</v>
      </c>
      <c r="H794">
        <v>85.944999999999993</v>
      </c>
      <c r="I794" s="3">
        <v>3</v>
      </c>
      <c r="J794" s="3">
        <v>3.093</v>
      </c>
      <c r="K794" s="3">
        <v>4.3</v>
      </c>
      <c r="L794" s="3">
        <v>3.081</v>
      </c>
    </row>
    <row r="795" spans="1:12" x14ac:dyDescent="0.3">
      <c r="A795" s="2">
        <v>45670</v>
      </c>
      <c r="B795" s="1">
        <v>5836.22</v>
      </c>
      <c r="C795" s="1">
        <v>19088.099999999999</v>
      </c>
      <c r="D795">
        <v>113.7137</v>
      </c>
      <c r="E795">
        <v>2489.56</v>
      </c>
      <c r="F795">
        <v>708.21</v>
      </c>
      <c r="G795">
        <v>77.183999999999997</v>
      </c>
      <c r="H795">
        <v>85.794499999999999</v>
      </c>
      <c r="I795" s="3">
        <v>3</v>
      </c>
      <c r="J795" s="3">
        <v>3.093</v>
      </c>
      <c r="K795" s="3">
        <v>4.29</v>
      </c>
      <c r="L795" s="3">
        <v>3.0640000000000001</v>
      </c>
    </row>
    <row r="796" spans="1:12" x14ac:dyDescent="0.3">
      <c r="A796" s="2">
        <v>45671</v>
      </c>
      <c r="B796" s="1">
        <v>5842.91</v>
      </c>
      <c r="C796" s="1">
        <v>19044.39</v>
      </c>
      <c r="D796">
        <v>114.0363</v>
      </c>
      <c r="E796">
        <v>2497.4</v>
      </c>
      <c r="F796">
        <v>718.04</v>
      </c>
      <c r="G796">
        <v>77.2029</v>
      </c>
      <c r="H796">
        <v>85.822699999999998</v>
      </c>
      <c r="I796" s="3">
        <v>3</v>
      </c>
      <c r="J796" s="3">
        <v>3.024</v>
      </c>
      <c r="K796" s="3">
        <v>4.28</v>
      </c>
      <c r="L796" s="3">
        <v>2.99</v>
      </c>
    </row>
    <row r="797" spans="1:12" x14ac:dyDescent="0.3">
      <c r="A797" s="2">
        <v>45672</v>
      </c>
      <c r="B797" s="1">
        <v>5949.91</v>
      </c>
      <c r="C797" s="1">
        <v>19511.23</v>
      </c>
      <c r="D797">
        <v>115.89319999999999</v>
      </c>
      <c r="E797">
        <v>2496.81</v>
      </c>
      <c r="F797">
        <v>711.61</v>
      </c>
      <c r="G797">
        <v>77.372600000000006</v>
      </c>
      <c r="H797">
        <v>86.726100000000002</v>
      </c>
      <c r="I797" s="3">
        <v>3</v>
      </c>
      <c r="J797" s="3">
        <v>3.044</v>
      </c>
      <c r="K797" s="3">
        <v>4.28</v>
      </c>
      <c r="L797" s="3">
        <v>3.008</v>
      </c>
    </row>
    <row r="798" spans="1:12" x14ac:dyDescent="0.3">
      <c r="A798" s="2">
        <v>45673</v>
      </c>
      <c r="B798" s="1">
        <v>5937.34</v>
      </c>
      <c r="C798" s="1">
        <v>19338.29</v>
      </c>
      <c r="D798">
        <v>115.90300000000001</v>
      </c>
      <c r="E798">
        <v>2527.4899999999998</v>
      </c>
      <c r="F798">
        <v>724.24</v>
      </c>
      <c r="G798">
        <v>77.419799999999995</v>
      </c>
      <c r="H798">
        <v>86.933099999999996</v>
      </c>
      <c r="I798" s="3">
        <v>3</v>
      </c>
      <c r="J798" s="3">
        <v>3.1110000000000002</v>
      </c>
      <c r="K798" s="3">
        <v>4.29</v>
      </c>
      <c r="L798" s="3">
        <v>3.0710000000000002</v>
      </c>
    </row>
    <row r="799" spans="1:12" x14ac:dyDescent="0.3">
      <c r="A799" s="2">
        <v>45674</v>
      </c>
      <c r="B799" s="1">
        <v>5996.66</v>
      </c>
      <c r="C799" s="1">
        <v>19630.2</v>
      </c>
      <c r="D799">
        <v>116.8901</v>
      </c>
      <c r="E799">
        <v>2523.5500000000002</v>
      </c>
      <c r="F799">
        <v>724.69</v>
      </c>
      <c r="G799">
        <v>77.400899999999993</v>
      </c>
      <c r="H799">
        <v>86.998999999999995</v>
      </c>
      <c r="I799" s="3">
        <v>3</v>
      </c>
      <c r="J799" s="3">
        <v>3.0939999999999999</v>
      </c>
      <c r="K799" s="3">
        <v>4.29</v>
      </c>
      <c r="L799" s="3">
        <v>3.069</v>
      </c>
    </row>
    <row r="800" spans="1:12" x14ac:dyDescent="0.3">
      <c r="A800" s="2">
        <v>45677</v>
      </c>
      <c r="B800" s="1">
        <v>5996.66</v>
      </c>
      <c r="C800" s="1">
        <v>19630.2</v>
      </c>
      <c r="D800">
        <v>116.8901</v>
      </c>
      <c r="E800">
        <v>2520.0500000000002</v>
      </c>
      <c r="F800">
        <v>727.66</v>
      </c>
      <c r="G800">
        <v>77.400899999999993</v>
      </c>
      <c r="H800">
        <v>86.998999999999995</v>
      </c>
      <c r="I800" s="3">
        <v>3</v>
      </c>
      <c r="J800" s="3">
        <v>3.121</v>
      </c>
      <c r="K800" s="3">
        <v>4.29</v>
      </c>
      <c r="L800" s="3">
        <v>3.109</v>
      </c>
    </row>
    <row r="801" spans="1:12" x14ac:dyDescent="0.3">
      <c r="A801" s="2">
        <v>45678</v>
      </c>
      <c r="B801" s="1">
        <v>6049.24</v>
      </c>
      <c r="C801" s="1">
        <v>19756.78</v>
      </c>
      <c r="D801">
        <v>118.2193</v>
      </c>
      <c r="E801">
        <v>2518.0300000000002</v>
      </c>
      <c r="F801">
        <v>726.07</v>
      </c>
      <c r="G801">
        <v>77.429199999999994</v>
      </c>
      <c r="H801">
        <v>87.290700000000001</v>
      </c>
      <c r="I801" s="3">
        <v>3</v>
      </c>
      <c r="J801" s="3">
        <v>3.141</v>
      </c>
      <c r="K801" s="3">
        <v>4.29</v>
      </c>
      <c r="L801" s="3">
        <v>3.1379999999999999</v>
      </c>
    </row>
    <row r="802" spans="1:12" x14ac:dyDescent="0.3">
      <c r="A802" s="2">
        <v>45679</v>
      </c>
      <c r="B802" s="1">
        <v>6086.37</v>
      </c>
      <c r="C802" s="1">
        <v>20009.34</v>
      </c>
      <c r="D802">
        <v>118.6493</v>
      </c>
      <c r="E802">
        <v>2547.06</v>
      </c>
      <c r="F802">
        <v>732.31</v>
      </c>
      <c r="G802">
        <v>77.410300000000007</v>
      </c>
      <c r="H802">
        <v>87.064899999999994</v>
      </c>
      <c r="I802" s="3">
        <v>3</v>
      </c>
      <c r="J802" s="3">
        <v>3.105</v>
      </c>
      <c r="K802" s="3">
        <v>4.3</v>
      </c>
      <c r="L802" s="3">
        <v>3.1059999999999999</v>
      </c>
    </row>
    <row r="803" spans="1:12" x14ac:dyDescent="0.3">
      <c r="A803" s="2">
        <v>45680</v>
      </c>
      <c r="B803" s="1">
        <v>6118.71</v>
      </c>
      <c r="C803" s="1">
        <v>20053.68</v>
      </c>
      <c r="D803">
        <v>119.30410000000001</v>
      </c>
      <c r="E803">
        <v>2515.4899999999998</v>
      </c>
      <c r="F803">
        <v>724.01</v>
      </c>
      <c r="G803">
        <v>77.410300000000007</v>
      </c>
      <c r="H803">
        <v>86.838999999999999</v>
      </c>
      <c r="I803" s="3">
        <v>3</v>
      </c>
      <c r="J803" s="3">
        <v>3.1019999999999999</v>
      </c>
      <c r="K803" s="3">
        <v>4.3499999999999996</v>
      </c>
      <c r="L803" s="3">
        <v>3.0880000000000001</v>
      </c>
    </row>
    <row r="804" spans="1:12" x14ac:dyDescent="0.3">
      <c r="A804" s="2">
        <v>45681</v>
      </c>
      <c r="B804" s="1">
        <v>6101.24</v>
      </c>
      <c r="C804" s="1">
        <v>19954.3</v>
      </c>
      <c r="D804">
        <v>119.2944</v>
      </c>
      <c r="E804">
        <v>2536.8000000000002</v>
      </c>
      <c r="F804">
        <v>728.74</v>
      </c>
      <c r="G804">
        <v>77.457499999999996</v>
      </c>
      <c r="H804">
        <v>87.017799999999994</v>
      </c>
      <c r="I804" s="3">
        <v>3</v>
      </c>
      <c r="J804" s="3">
        <v>3.177</v>
      </c>
      <c r="K804" s="3">
        <v>4.34</v>
      </c>
      <c r="L804" s="3">
        <v>3.0910000000000002</v>
      </c>
    </row>
    <row r="805" spans="1:12" x14ac:dyDescent="0.3">
      <c r="A805" s="2">
        <v>45684</v>
      </c>
      <c r="B805" s="1">
        <v>6012.28</v>
      </c>
      <c r="C805" s="1">
        <v>19341.830000000002</v>
      </c>
      <c r="D805">
        <v>117.8674</v>
      </c>
      <c r="E805">
        <v>2536.8000000000002</v>
      </c>
      <c r="F805">
        <v>728.74</v>
      </c>
      <c r="G805">
        <v>77.570700000000002</v>
      </c>
      <c r="H805">
        <v>87.582400000000007</v>
      </c>
      <c r="I805" s="3">
        <v>3</v>
      </c>
      <c r="J805" s="3">
        <v>3.177</v>
      </c>
      <c r="K805" s="3">
        <v>4.34</v>
      </c>
      <c r="L805" s="3">
        <v>3</v>
      </c>
    </row>
    <row r="806" spans="1:12" x14ac:dyDescent="0.3">
      <c r="A806" s="2">
        <v>45685</v>
      </c>
      <c r="B806" s="1">
        <v>6067.7</v>
      </c>
      <c r="C806" s="1">
        <v>19733.59</v>
      </c>
      <c r="D806">
        <v>118.6493</v>
      </c>
      <c r="E806">
        <v>2536.8000000000002</v>
      </c>
      <c r="F806">
        <v>728.74</v>
      </c>
      <c r="G806">
        <v>77.589500000000001</v>
      </c>
      <c r="H806">
        <v>87.591899999999995</v>
      </c>
      <c r="I806" s="3">
        <v>3</v>
      </c>
      <c r="J806" s="3">
        <v>3.177</v>
      </c>
      <c r="K806" s="3">
        <v>4.3499999999999996</v>
      </c>
      <c r="L806" s="3">
        <v>3</v>
      </c>
    </row>
    <row r="807" spans="1:12" x14ac:dyDescent="0.3">
      <c r="A807" s="2">
        <v>45686</v>
      </c>
      <c r="B807" s="1">
        <v>6039.31</v>
      </c>
      <c r="C807" s="1">
        <v>19632.32</v>
      </c>
      <c r="D807">
        <v>118.2975</v>
      </c>
      <c r="E807">
        <v>2536.8000000000002</v>
      </c>
      <c r="F807">
        <v>728.74</v>
      </c>
      <c r="G807">
        <v>77.542400000000001</v>
      </c>
      <c r="H807">
        <v>87.488299999999995</v>
      </c>
      <c r="I807" s="3">
        <v>3</v>
      </c>
      <c r="J807" s="3">
        <v>3.177</v>
      </c>
      <c r="K807" s="3">
        <v>4.3499999999999996</v>
      </c>
      <c r="L807" s="3">
        <v>3</v>
      </c>
    </row>
    <row r="808" spans="1:12" x14ac:dyDescent="0.3">
      <c r="A808" s="2">
        <v>45687</v>
      </c>
      <c r="B808" s="1">
        <v>6071.17</v>
      </c>
      <c r="C808" s="1">
        <v>19681.75</v>
      </c>
      <c r="D808">
        <v>119.2064</v>
      </c>
      <c r="E808">
        <v>2536.8000000000002</v>
      </c>
      <c r="F808">
        <v>728.74</v>
      </c>
      <c r="G808">
        <v>77.589500000000001</v>
      </c>
      <c r="H808">
        <v>87.676599999999993</v>
      </c>
      <c r="I808" s="3">
        <v>3</v>
      </c>
      <c r="J808" s="3">
        <v>3.177</v>
      </c>
      <c r="K808" s="3">
        <v>4.3600000000000003</v>
      </c>
      <c r="L808" s="3">
        <v>3</v>
      </c>
    </row>
    <row r="809" spans="1:12" x14ac:dyDescent="0.3">
      <c r="A809" s="2">
        <v>45688</v>
      </c>
      <c r="B809" s="1">
        <v>6040.53</v>
      </c>
      <c r="C809" s="1">
        <v>19627.439999999999</v>
      </c>
      <c r="D809">
        <v>118.44410000000001</v>
      </c>
      <c r="E809">
        <v>2517.37</v>
      </c>
      <c r="F809">
        <v>728.29</v>
      </c>
      <c r="G809">
        <v>77.5989</v>
      </c>
      <c r="H809">
        <v>87.535399999999996</v>
      </c>
      <c r="I809" s="3">
        <v>3</v>
      </c>
      <c r="J809" s="3">
        <v>3.137</v>
      </c>
      <c r="K809" s="3">
        <v>4.38</v>
      </c>
      <c r="L809" s="3">
        <v>3.0739999999999998</v>
      </c>
    </row>
    <row r="810" spans="1:12" x14ac:dyDescent="0.3">
      <c r="A810" s="2">
        <v>45691</v>
      </c>
      <c r="B810" s="1">
        <v>5994.57</v>
      </c>
      <c r="C810" s="1">
        <v>19391.96</v>
      </c>
      <c r="D810">
        <v>117.4863</v>
      </c>
      <c r="E810">
        <v>2453.9499999999998</v>
      </c>
      <c r="F810">
        <v>703.8</v>
      </c>
      <c r="G810">
        <v>77.545500000000004</v>
      </c>
      <c r="H810">
        <v>87.597999999999999</v>
      </c>
      <c r="I810" s="3">
        <v>3</v>
      </c>
      <c r="J810" s="3">
        <v>3.0619999999999998</v>
      </c>
      <c r="K810" s="3">
        <v>4.3499999999999996</v>
      </c>
      <c r="L810" s="3">
        <v>2.988</v>
      </c>
    </row>
    <row r="811" spans="1:12" x14ac:dyDescent="0.3">
      <c r="A811" s="2">
        <v>45692</v>
      </c>
      <c r="B811" s="1">
        <v>6037.88</v>
      </c>
      <c r="C811" s="1">
        <v>19654.02</v>
      </c>
      <c r="D811">
        <v>118.55159999999999</v>
      </c>
      <c r="E811">
        <v>2481.69</v>
      </c>
      <c r="F811">
        <v>719.92</v>
      </c>
      <c r="G811">
        <v>77.621200000000002</v>
      </c>
      <c r="H811">
        <v>87.815200000000004</v>
      </c>
      <c r="I811" s="3">
        <v>3</v>
      </c>
      <c r="J811" s="3">
        <v>3.016</v>
      </c>
      <c r="K811" s="3">
        <v>4.33</v>
      </c>
      <c r="L811" s="3">
        <v>2.919</v>
      </c>
    </row>
    <row r="812" spans="1:12" x14ac:dyDescent="0.3">
      <c r="A812" s="2">
        <v>45693</v>
      </c>
      <c r="B812" s="1">
        <v>6061.48</v>
      </c>
      <c r="C812" s="1">
        <v>19692.330000000002</v>
      </c>
      <c r="D812">
        <v>119.12820000000001</v>
      </c>
      <c r="E812">
        <v>2509.27</v>
      </c>
      <c r="F812">
        <v>730.98</v>
      </c>
      <c r="G812">
        <v>77.668499999999995</v>
      </c>
      <c r="H812">
        <v>88.325000000000003</v>
      </c>
      <c r="I812" s="3">
        <v>3</v>
      </c>
      <c r="J812" s="3">
        <v>3.0150000000000001</v>
      </c>
      <c r="K812" s="3">
        <v>4.33</v>
      </c>
      <c r="L812" s="3">
        <v>2.98</v>
      </c>
    </row>
    <row r="813" spans="1:12" x14ac:dyDescent="0.3">
      <c r="A813" s="2">
        <v>45694</v>
      </c>
      <c r="B813" s="1">
        <v>6083.57</v>
      </c>
      <c r="C813" s="1">
        <v>19791.990000000002</v>
      </c>
      <c r="D813">
        <v>119.53870000000001</v>
      </c>
      <c r="E813">
        <v>2536.75</v>
      </c>
      <c r="F813">
        <v>740.32</v>
      </c>
      <c r="G813">
        <v>77.640100000000004</v>
      </c>
      <c r="H813">
        <v>88.221100000000007</v>
      </c>
      <c r="I813" s="3">
        <v>3</v>
      </c>
      <c r="J813" s="3">
        <v>3.0129999999999999</v>
      </c>
      <c r="K813" s="3">
        <v>4.3600000000000003</v>
      </c>
      <c r="L813" s="3">
        <v>3.0030000000000001</v>
      </c>
    </row>
    <row r="814" spans="1:12" x14ac:dyDescent="0.3">
      <c r="A814" s="2">
        <v>45695</v>
      </c>
      <c r="B814" s="1">
        <v>6025.99</v>
      </c>
      <c r="C814" s="1">
        <v>19523.400000000001</v>
      </c>
      <c r="D814">
        <v>118.5809</v>
      </c>
      <c r="E814">
        <v>2521.92</v>
      </c>
      <c r="F814">
        <v>742.9</v>
      </c>
      <c r="G814">
        <v>77.555000000000007</v>
      </c>
      <c r="H814">
        <v>87.9285</v>
      </c>
      <c r="I814" s="3">
        <v>3</v>
      </c>
      <c r="J814" s="3">
        <v>3.012</v>
      </c>
      <c r="K814" s="3">
        <v>4.3499999999999996</v>
      </c>
      <c r="L814" s="3">
        <v>3.024</v>
      </c>
    </row>
    <row r="815" spans="1:12" x14ac:dyDescent="0.3">
      <c r="A815" s="2">
        <v>45698</v>
      </c>
      <c r="B815" s="1">
        <v>6066.44</v>
      </c>
      <c r="C815" s="1">
        <v>19714.27</v>
      </c>
      <c r="D815">
        <v>119.53870000000001</v>
      </c>
      <c r="E815">
        <v>2521.27</v>
      </c>
      <c r="F815">
        <v>749.67</v>
      </c>
      <c r="G815">
        <v>77.592799999999997</v>
      </c>
      <c r="H815">
        <v>87.909599999999998</v>
      </c>
      <c r="I815" s="3">
        <v>3</v>
      </c>
      <c r="J815" s="3">
        <v>3.044</v>
      </c>
      <c r="K815" s="3">
        <v>4.3499999999999996</v>
      </c>
      <c r="L815" s="3">
        <v>3.0339999999999998</v>
      </c>
    </row>
    <row r="816" spans="1:12" x14ac:dyDescent="0.3">
      <c r="A816" s="2">
        <v>45699</v>
      </c>
      <c r="B816" s="1">
        <v>6068.5</v>
      </c>
      <c r="C816" s="1">
        <v>19643.86</v>
      </c>
      <c r="D816">
        <v>119.5583</v>
      </c>
      <c r="E816">
        <v>2539.0500000000002</v>
      </c>
      <c r="F816">
        <v>749.59</v>
      </c>
      <c r="G816">
        <v>77.573899999999995</v>
      </c>
      <c r="H816">
        <v>87.683000000000007</v>
      </c>
      <c r="I816" s="3">
        <v>3</v>
      </c>
      <c r="J816" s="3">
        <v>3.0339999999999998</v>
      </c>
      <c r="K816" s="3">
        <v>4.34</v>
      </c>
      <c r="L816" s="3">
        <v>3.0209999999999999</v>
      </c>
    </row>
    <row r="817" spans="1:12" x14ac:dyDescent="0.3">
      <c r="A817" s="2">
        <v>45700</v>
      </c>
      <c r="B817" s="1">
        <v>6051.97</v>
      </c>
      <c r="C817" s="1">
        <v>19649.95</v>
      </c>
      <c r="D817">
        <v>119.4507</v>
      </c>
      <c r="E817">
        <v>2548.39</v>
      </c>
      <c r="F817">
        <v>745.18</v>
      </c>
      <c r="G817">
        <v>77.469800000000006</v>
      </c>
      <c r="H817">
        <v>87.078800000000001</v>
      </c>
      <c r="I817" s="3">
        <v>3</v>
      </c>
      <c r="J817" s="3">
        <v>3.0539999999999998</v>
      </c>
      <c r="K817" s="3">
        <v>4.32</v>
      </c>
      <c r="L817" s="3">
        <v>3.0329999999999999</v>
      </c>
    </row>
    <row r="818" spans="1:12" x14ac:dyDescent="0.3">
      <c r="A818" s="2">
        <v>45701</v>
      </c>
      <c r="B818" s="1">
        <v>6115.07</v>
      </c>
      <c r="C818" s="1">
        <v>19945.64</v>
      </c>
      <c r="D818">
        <v>120.8386</v>
      </c>
      <c r="E818">
        <v>2583.17</v>
      </c>
      <c r="F818">
        <v>749.28</v>
      </c>
      <c r="G818">
        <v>77.573899999999995</v>
      </c>
      <c r="H818">
        <v>87.730199999999996</v>
      </c>
      <c r="I818" s="3">
        <v>3</v>
      </c>
      <c r="J818" s="3">
        <v>3.073</v>
      </c>
      <c r="K818" s="3">
        <v>4.33</v>
      </c>
      <c r="L818" s="3">
        <v>3.0539999999999998</v>
      </c>
    </row>
    <row r="819" spans="1:12" x14ac:dyDescent="0.3">
      <c r="A819" s="2">
        <v>45702</v>
      </c>
      <c r="B819" s="1">
        <v>6114.63</v>
      </c>
      <c r="C819" s="1">
        <v>20026.77</v>
      </c>
      <c r="D819">
        <v>120.819</v>
      </c>
      <c r="E819">
        <v>2591.0500000000002</v>
      </c>
      <c r="F819">
        <v>756.32</v>
      </c>
      <c r="G819">
        <v>77.677999999999997</v>
      </c>
      <c r="H819">
        <v>88.098399999999998</v>
      </c>
      <c r="I819" s="3">
        <v>3</v>
      </c>
      <c r="J819" s="3">
        <v>3.073</v>
      </c>
      <c r="K819" s="3">
        <v>4.33</v>
      </c>
      <c r="L819" s="3">
        <v>3.0569999999999999</v>
      </c>
    </row>
    <row r="820" spans="1:12" x14ac:dyDescent="0.3">
      <c r="A820" s="2">
        <v>45705</v>
      </c>
      <c r="B820" s="1">
        <v>6114.63</v>
      </c>
      <c r="C820" s="1">
        <v>20026.77</v>
      </c>
      <c r="D820">
        <v>120.819</v>
      </c>
      <c r="E820">
        <v>2610.42</v>
      </c>
      <c r="F820">
        <v>768.48</v>
      </c>
      <c r="G820">
        <v>77.677999999999997</v>
      </c>
      <c r="H820">
        <v>88.098399999999998</v>
      </c>
      <c r="I820" s="3">
        <v>3</v>
      </c>
      <c r="J820" s="3">
        <v>3.073</v>
      </c>
      <c r="K820" s="3">
        <v>4.33</v>
      </c>
      <c r="L820" s="3">
        <v>3.0169999999999999</v>
      </c>
    </row>
    <row r="821" spans="1:12" x14ac:dyDescent="0.3">
      <c r="A821" s="2">
        <v>45706</v>
      </c>
      <c r="B821" s="1">
        <v>6129.58</v>
      </c>
      <c r="C821" s="1">
        <v>20041.259999999998</v>
      </c>
      <c r="D821">
        <v>121.3175</v>
      </c>
      <c r="E821">
        <v>2626.81</v>
      </c>
      <c r="F821">
        <v>773.65</v>
      </c>
      <c r="G821">
        <v>77.611699999999999</v>
      </c>
      <c r="H821">
        <v>87.626400000000004</v>
      </c>
      <c r="I821" s="3">
        <v>3</v>
      </c>
      <c r="J821" s="3">
        <v>3.0249999999999999</v>
      </c>
      <c r="K821" s="3">
        <v>4.37</v>
      </c>
      <c r="L821" s="3">
        <v>3.0009999999999999</v>
      </c>
    </row>
    <row r="822" spans="1:12" x14ac:dyDescent="0.3">
      <c r="A822" s="2">
        <v>45707</v>
      </c>
      <c r="B822" s="1">
        <v>6144.15</v>
      </c>
      <c r="C822" s="1">
        <v>20056.25</v>
      </c>
      <c r="D822">
        <v>121.1709</v>
      </c>
      <c r="E822">
        <v>2671.52</v>
      </c>
      <c r="F822">
        <v>778.27</v>
      </c>
      <c r="G822">
        <v>77.668499999999995</v>
      </c>
      <c r="H822">
        <v>87.768000000000001</v>
      </c>
      <c r="I822" s="3">
        <v>3</v>
      </c>
      <c r="J822" s="3">
        <v>3.0209999999999999</v>
      </c>
      <c r="K822" s="3">
        <v>4.3499999999999996</v>
      </c>
      <c r="L822" s="3">
        <v>2.9529999999999998</v>
      </c>
    </row>
    <row r="823" spans="1:12" x14ac:dyDescent="0.3">
      <c r="A823" s="2">
        <v>45708</v>
      </c>
      <c r="B823" s="1">
        <v>6117.52</v>
      </c>
      <c r="C823" s="1">
        <v>19962.36</v>
      </c>
      <c r="D823">
        <v>121.0047</v>
      </c>
      <c r="E823">
        <v>2654.06</v>
      </c>
      <c r="F823">
        <v>768.27</v>
      </c>
      <c r="G823">
        <v>77.677999999999997</v>
      </c>
      <c r="H823">
        <v>87.947299999999998</v>
      </c>
      <c r="I823" s="3">
        <v>3</v>
      </c>
      <c r="J823" s="3">
        <v>3.0169999999999999</v>
      </c>
      <c r="K823" s="3">
        <v>4.33</v>
      </c>
      <c r="L823" s="3">
        <v>2.9929999999999999</v>
      </c>
    </row>
    <row r="824" spans="1:12" x14ac:dyDescent="0.3">
      <c r="A824" s="2">
        <v>45709</v>
      </c>
      <c r="B824" s="1">
        <v>6013.13</v>
      </c>
      <c r="C824" s="1">
        <v>19524.009999999998</v>
      </c>
      <c r="D824">
        <v>119.36279999999999</v>
      </c>
      <c r="E824">
        <v>2654.58</v>
      </c>
      <c r="F824">
        <v>774.65</v>
      </c>
      <c r="G824">
        <v>77.810400000000001</v>
      </c>
      <c r="H824">
        <v>88.4666</v>
      </c>
      <c r="I824" s="3">
        <v>3</v>
      </c>
      <c r="J824" s="3">
        <v>3.0249999999999999</v>
      </c>
      <c r="K824" s="3">
        <v>4.34</v>
      </c>
      <c r="L824" s="3">
        <v>2.9849999999999999</v>
      </c>
    </row>
    <row r="825" spans="1:12" x14ac:dyDescent="0.3">
      <c r="A825" s="2">
        <v>45712</v>
      </c>
      <c r="B825" s="1">
        <v>5983.25</v>
      </c>
      <c r="C825" s="1">
        <v>19286.93</v>
      </c>
      <c r="D825">
        <v>118.72750000000001</v>
      </c>
      <c r="E825">
        <v>2645.27</v>
      </c>
      <c r="F825">
        <v>773.33</v>
      </c>
      <c r="G825">
        <v>77.867199999999997</v>
      </c>
      <c r="H825">
        <v>88.6554</v>
      </c>
      <c r="I825" s="3">
        <v>3</v>
      </c>
      <c r="J825" s="3">
        <v>3.0630000000000002</v>
      </c>
      <c r="K825" s="3">
        <v>4.34</v>
      </c>
      <c r="L825" s="3">
        <v>3.0219999999999998</v>
      </c>
    </row>
    <row r="826" spans="1:12" x14ac:dyDescent="0.3">
      <c r="A826" s="2">
        <v>45713</v>
      </c>
      <c r="B826" s="1">
        <v>5955.25</v>
      </c>
      <c r="C826" s="1">
        <v>19026.39</v>
      </c>
      <c r="D826">
        <v>118.54179999999999</v>
      </c>
      <c r="E826">
        <v>2630.29</v>
      </c>
      <c r="F826">
        <v>769.43</v>
      </c>
      <c r="G826">
        <v>77.971299999999999</v>
      </c>
      <c r="H826">
        <v>89.353999999999999</v>
      </c>
      <c r="I826" s="3">
        <v>2.75</v>
      </c>
      <c r="J826" s="3">
        <v>2.89</v>
      </c>
      <c r="K826" s="3">
        <v>4.33</v>
      </c>
      <c r="L826" s="3">
        <v>2.8370000000000002</v>
      </c>
    </row>
    <row r="827" spans="1:12" x14ac:dyDescent="0.3">
      <c r="A827" s="2">
        <v>45714</v>
      </c>
      <c r="B827" s="1">
        <v>5956.06</v>
      </c>
      <c r="C827" s="1">
        <v>19075.259999999998</v>
      </c>
      <c r="D827">
        <v>118.7666</v>
      </c>
      <c r="E827">
        <v>2641.09</v>
      </c>
      <c r="F827">
        <v>771.41</v>
      </c>
      <c r="G827">
        <v>77.999700000000004</v>
      </c>
      <c r="H827">
        <v>89.599400000000003</v>
      </c>
      <c r="I827" s="3">
        <v>2.75</v>
      </c>
      <c r="J827" s="3">
        <v>2.859</v>
      </c>
      <c r="K827" s="3">
        <v>4.33</v>
      </c>
      <c r="L827" s="3">
        <v>2.7919999999999998</v>
      </c>
    </row>
    <row r="828" spans="1:12" x14ac:dyDescent="0.3">
      <c r="A828" s="2">
        <v>45715</v>
      </c>
      <c r="B828" s="1">
        <v>5861.57</v>
      </c>
      <c r="C828" s="1">
        <v>18544.419999999998</v>
      </c>
      <c r="D828">
        <v>116.9585</v>
      </c>
      <c r="E828">
        <v>2621.75</v>
      </c>
      <c r="F828">
        <v>770.85</v>
      </c>
      <c r="G828">
        <v>78.028000000000006</v>
      </c>
      <c r="H828">
        <v>89.495599999999996</v>
      </c>
      <c r="I828" s="3">
        <v>2.75</v>
      </c>
      <c r="J828" s="3">
        <v>2.831</v>
      </c>
      <c r="K828" s="3">
        <v>4.3600000000000003</v>
      </c>
      <c r="L828" s="3">
        <v>2.8050000000000002</v>
      </c>
    </row>
    <row r="829" spans="1:12" x14ac:dyDescent="0.3">
      <c r="A829" s="2">
        <v>45716</v>
      </c>
      <c r="B829" s="1">
        <v>5954.5</v>
      </c>
      <c r="C829" s="1">
        <v>18847.28</v>
      </c>
      <c r="D829">
        <v>118.09220000000001</v>
      </c>
      <c r="E829">
        <v>2532.7800000000002</v>
      </c>
      <c r="F829">
        <v>743.96</v>
      </c>
      <c r="G829">
        <v>78.17</v>
      </c>
      <c r="H829">
        <v>89.986500000000007</v>
      </c>
      <c r="I829" s="3">
        <v>2.75</v>
      </c>
      <c r="J829" s="3">
        <v>2.8319999999999999</v>
      </c>
      <c r="K829" s="3">
        <v>4.3899999999999997</v>
      </c>
      <c r="L829" s="3">
        <v>2.7989999999999999</v>
      </c>
    </row>
    <row r="830" spans="1:12" x14ac:dyDescent="0.3">
      <c r="A830" s="2">
        <v>45719</v>
      </c>
      <c r="B830" s="1">
        <v>5849.72</v>
      </c>
      <c r="C830" s="1">
        <v>18350.189999999999</v>
      </c>
      <c r="D830">
        <v>116.8412</v>
      </c>
      <c r="E830">
        <v>2532.7800000000002</v>
      </c>
      <c r="F830">
        <v>743.96</v>
      </c>
      <c r="G830">
        <v>78.220399999999998</v>
      </c>
      <c r="H830">
        <v>90.313500000000005</v>
      </c>
      <c r="I830" s="3">
        <v>2.75</v>
      </c>
      <c r="J830" s="3">
        <v>2.8319999999999999</v>
      </c>
      <c r="K830" s="3">
        <v>4.33</v>
      </c>
      <c r="L830" s="3">
        <v>2.75</v>
      </c>
    </row>
    <row r="831" spans="1:12" x14ac:dyDescent="0.3">
      <c r="A831" s="2">
        <v>45720</v>
      </c>
      <c r="B831" s="1">
        <v>5778.15</v>
      </c>
      <c r="C831" s="1">
        <v>18285.16</v>
      </c>
      <c r="D831">
        <v>115.991</v>
      </c>
      <c r="E831">
        <v>2528.92</v>
      </c>
      <c r="F831">
        <v>737.9</v>
      </c>
      <c r="G831">
        <v>78.229900000000001</v>
      </c>
      <c r="H831">
        <v>90.029399999999995</v>
      </c>
      <c r="I831" s="3">
        <v>2.75</v>
      </c>
      <c r="J831" s="3">
        <v>2.7789999999999999</v>
      </c>
      <c r="K831" s="3">
        <v>4.33</v>
      </c>
      <c r="L831" s="3">
        <v>2.6909999999999998</v>
      </c>
    </row>
    <row r="832" spans="1:12" x14ac:dyDescent="0.3">
      <c r="A832" s="2">
        <v>45721</v>
      </c>
      <c r="B832" s="1">
        <v>5842.63</v>
      </c>
      <c r="C832" s="1">
        <v>18552.73</v>
      </c>
      <c r="D832">
        <v>117.8284</v>
      </c>
      <c r="E832">
        <v>2558.13</v>
      </c>
      <c r="F832">
        <v>746.95</v>
      </c>
      <c r="G832">
        <v>78.144499999999994</v>
      </c>
      <c r="H832">
        <v>89.527699999999996</v>
      </c>
      <c r="I832" s="3">
        <v>2.75</v>
      </c>
      <c r="J832" s="3">
        <v>2.7770000000000001</v>
      </c>
      <c r="K832" s="3">
        <v>4.34</v>
      </c>
      <c r="L832" s="3">
        <v>2.7309999999999999</v>
      </c>
    </row>
    <row r="833" spans="1:12" x14ac:dyDescent="0.3">
      <c r="A833" s="2">
        <v>45722</v>
      </c>
      <c r="B833" s="1">
        <v>5738.52</v>
      </c>
      <c r="C833" s="1">
        <v>18069.259999999998</v>
      </c>
      <c r="D833">
        <v>116.01049999999999</v>
      </c>
      <c r="E833">
        <v>2576.16</v>
      </c>
      <c r="F833">
        <v>734.92</v>
      </c>
      <c r="G833">
        <v>78.191900000000004</v>
      </c>
      <c r="H833">
        <v>89.4803</v>
      </c>
      <c r="I833" s="3">
        <v>2.75</v>
      </c>
      <c r="J833" s="3">
        <v>2.7869999999999999</v>
      </c>
      <c r="K833" s="3">
        <v>4.3499999999999996</v>
      </c>
      <c r="L833" s="3">
        <v>2.7730000000000001</v>
      </c>
    </row>
    <row r="834" spans="1:12" x14ac:dyDescent="0.3">
      <c r="A834" s="2">
        <v>45723</v>
      </c>
      <c r="B834" s="1">
        <v>5770.2</v>
      </c>
      <c r="C834" s="1">
        <v>18196.22</v>
      </c>
      <c r="D834">
        <v>116.7924</v>
      </c>
      <c r="E834">
        <v>2563.48</v>
      </c>
      <c r="F834">
        <v>727.7</v>
      </c>
      <c r="G834">
        <v>78.182400000000001</v>
      </c>
      <c r="H834">
        <v>89.366699999999994</v>
      </c>
      <c r="I834" s="3">
        <v>2.75</v>
      </c>
      <c r="J834" s="3">
        <v>2.8039999999999998</v>
      </c>
      <c r="K834" s="3">
        <v>4.34</v>
      </c>
      <c r="L834" s="3">
        <v>2.7789999999999999</v>
      </c>
    </row>
    <row r="835" spans="1:12" x14ac:dyDescent="0.3">
      <c r="A835" s="2">
        <v>45726</v>
      </c>
      <c r="B835" s="1">
        <v>5614.56</v>
      </c>
      <c r="C835" s="1">
        <v>17468.32</v>
      </c>
      <c r="D835">
        <v>113.7724</v>
      </c>
      <c r="E835">
        <v>2570.39</v>
      </c>
      <c r="F835">
        <v>725.82</v>
      </c>
      <c r="G835">
        <v>78.324799999999996</v>
      </c>
      <c r="H835">
        <v>89.991600000000005</v>
      </c>
      <c r="I835" s="3">
        <v>2.75</v>
      </c>
      <c r="J835" s="3">
        <v>2.8039999999999998</v>
      </c>
      <c r="K835" s="3">
        <v>4.33</v>
      </c>
      <c r="L835" s="3">
        <v>2.7770000000000001</v>
      </c>
    </row>
    <row r="836" spans="1:12" x14ac:dyDescent="0.3">
      <c r="A836" s="2">
        <v>45727</v>
      </c>
      <c r="B836" s="1">
        <v>5572.07</v>
      </c>
      <c r="C836" s="1">
        <v>17436.099999999999</v>
      </c>
      <c r="D836">
        <v>113.17619999999999</v>
      </c>
      <c r="E836">
        <v>2537.6</v>
      </c>
      <c r="F836">
        <v>721.5</v>
      </c>
      <c r="G836">
        <v>78.277299999999997</v>
      </c>
      <c r="H836">
        <v>89.669700000000006</v>
      </c>
      <c r="I836" s="3">
        <v>2.75</v>
      </c>
      <c r="J836" s="3">
        <v>2.7650000000000001</v>
      </c>
      <c r="K836" s="3">
        <v>4.32</v>
      </c>
      <c r="L836" s="3">
        <v>2.76</v>
      </c>
    </row>
    <row r="837" spans="1:12" x14ac:dyDescent="0.3">
      <c r="A837" s="2">
        <v>45728</v>
      </c>
      <c r="B837" s="1">
        <v>5599.3</v>
      </c>
      <c r="C837" s="1">
        <v>17648.45</v>
      </c>
      <c r="D837">
        <v>113.8506</v>
      </c>
      <c r="E837">
        <v>2574.8200000000002</v>
      </c>
      <c r="F837">
        <v>729.49</v>
      </c>
      <c r="G837">
        <v>78.220399999999998</v>
      </c>
      <c r="H837">
        <v>89.404600000000002</v>
      </c>
      <c r="I837" s="3">
        <v>2.75</v>
      </c>
      <c r="J837" s="3">
        <v>2.746</v>
      </c>
      <c r="K837" s="3">
        <v>4.3099999999999996</v>
      </c>
      <c r="L837" s="3">
        <v>2.7629999999999999</v>
      </c>
    </row>
    <row r="838" spans="1:12" x14ac:dyDescent="0.3">
      <c r="A838" s="2">
        <v>45729</v>
      </c>
      <c r="B838" s="1">
        <v>5521.52</v>
      </c>
      <c r="C838" s="1">
        <v>17303.009999999998</v>
      </c>
      <c r="D838">
        <v>112.55070000000001</v>
      </c>
      <c r="E838">
        <v>2573.64</v>
      </c>
      <c r="F838">
        <v>722.8</v>
      </c>
      <c r="G838">
        <v>78.277299999999997</v>
      </c>
      <c r="H838">
        <v>89.764300000000006</v>
      </c>
      <c r="I838" s="3">
        <v>2.75</v>
      </c>
      <c r="J838" s="3">
        <v>2.7639999999999998</v>
      </c>
      <c r="K838" s="3">
        <v>4.3</v>
      </c>
      <c r="L838" s="3">
        <v>2.7530000000000001</v>
      </c>
    </row>
    <row r="839" spans="1:12" x14ac:dyDescent="0.3">
      <c r="A839" s="2">
        <v>45730</v>
      </c>
      <c r="B839" s="1">
        <v>5638.94</v>
      </c>
      <c r="C839" s="1">
        <v>17754.09</v>
      </c>
      <c r="D839">
        <v>114.78879999999999</v>
      </c>
      <c r="E839">
        <v>2566.36</v>
      </c>
      <c r="F839">
        <v>734.26</v>
      </c>
      <c r="G839">
        <v>78.220399999999998</v>
      </c>
      <c r="H839">
        <v>89.451899999999995</v>
      </c>
      <c r="I839" s="3">
        <v>2.75</v>
      </c>
      <c r="J839" s="3">
        <v>2.754</v>
      </c>
      <c r="K839" s="3">
        <v>4.3</v>
      </c>
      <c r="L839" s="3">
        <v>2.758</v>
      </c>
    </row>
    <row r="840" spans="1:12" x14ac:dyDescent="0.3">
      <c r="A840" s="2">
        <v>45733</v>
      </c>
      <c r="B840" s="1">
        <v>5675.12</v>
      </c>
      <c r="C840" s="1">
        <v>17808.66</v>
      </c>
      <c r="D840">
        <v>115.9323</v>
      </c>
      <c r="E840">
        <v>2610.69</v>
      </c>
      <c r="F840">
        <v>743.51</v>
      </c>
      <c r="G840">
        <v>78.191900000000004</v>
      </c>
      <c r="H840">
        <v>89.527699999999996</v>
      </c>
      <c r="I840" s="3">
        <v>2.75</v>
      </c>
      <c r="J840" s="3">
        <v>2.7450000000000001</v>
      </c>
      <c r="K840" s="3">
        <v>4.32</v>
      </c>
      <c r="L840" s="3">
        <v>2.7519999999999998</v>
      </c>
    </row>
    <row r="841" spans="1:12" x14ac:dyDescent="0.3">
      <c r="A841" s="2">
        <v>45734</v>
      </c>
      <c r="B841" s="1">
        <v>5614.66</v>
      </c>
      <c r="C841" s="1">
        <v>17504.12</v>
      </c>
      <c r="D841">
        <v>115.1016</v>
      </c>
      <c r="E841">
        <v>2612.34</v>
      </c>
      <c r="F841">
        <v>745.54</v>
      </c>
      <c r="G841">
        <v>78.191900000000004</v>
      </c>
      <c r="H841">
        <v>89.631799999999998</v>
      </c>
      <c r="I841" s="3">
        <v>2.75</v>
      </c>
      <c r="J841" s="3">
        <v>2.7440000000000002</v>
      </c>
      <c r="K841" s="3">
        <v>4.3099999999999996</v>
      </c>
      <c r="L841" s="3">
        <v>2.7559999999999998</v>
      </c>
    </row>
    <row r="842" spans="1:12" x14ac:dyDescent="0.3">
      <c r="A842" s="2">
        <v>45735</v>
      </c>
      <c r="B842" s="1">
        <v>5675.29</v>
      </c>
      <c r="C842" s="1">
        <v>17750.79</v>
      </c>
      <c r="D842">
        <v>116.0398</v>
      </c>
      <c r="E842">
        <v>2628.62</v>
      </c>
      <c r="F842">
        <v>738.35</v>
      </c>
      <c r="G842">
        <v>78.305800000000005</v>
      </c>
      <c r="H842">
        <v>89.906400000000005</v>
      </c>
      <c r="I842" s="3">
        <v>2.75</v>
      </c>
      <c r="J842" s="3">
        <v>2.7440000000000002</v>
      </c>
      <c r="K842" s="3">
        <v>4.29</v>
      </c>
      <c r="L842" s="3">
        <v>2.7480000000000002</v>
      </c>
    </row>
    <row r="843" spans="1:12" x14ac:dyDescent="0.3">
      <c r="A843" s="2">
        <v>45736</v>
      </c>
      <c r="B843" s="1">
        <v>5662.89</v>
      </c>
      <c r="C843" s="1">
        <v>17691.63</v>
      </c>
      <c r="D843">
        <v>115.55110000000001</v>
      </c>
      <c r="E843">
        <v>2637.1</v>
      </c>
      <c r="F843">
        <v>725.15</v>
      </c>
      <c r="G843">
        <v>78.324799999999996</v>
      </c>
      <c r="H843">
        <v>90.038899999999998</v>
      </c>
      <c r="I843" s="3">
        <v>2.75</v>
      </c>
      <c r="J843" s="3">
        <v>2.7549999999999999</v>
      </c>
      <c r="K843" s="3">
        <v>4.29</v>
      </c>
      <c r="L843" s="3">
        <v>2.766</v>
      </c>
    </row>
    <row r="844" spans="1:12" x14ac:dyDescent="0.3">
      <c r="A844" s="2">
        <v>45737</v>
      </c>
      <c r="B844" s="1">
        <v>5667.56</v>
      </c>
      <c r="C844" s="1">
        <v>17784.05</v>
      </c>
      <c r="D844">
        <v>115.3068</v>
      </c>
      <c r="E844">
        <v>2643.13</v>
      </c>
      <c r="F844">
        <v>719.41</v>
      </c>
      <c r="G844">
        <v>78.372299999999996</v>
      </c>
      <c r="H844">
        <v>89.963200000000001</v>
      </c>
      <c r="I844" s="3">
        <v>2.75</v>
      </c>
      <c r="J844" s="3">
        <v>2.7650000000000001</v>
      </c>
      <c r="K844" s="3">
        <v>4.3</v>
      </c>
      <c r="L844" s="3">
        <v>2.7610000000000001</v>
      </c>
    </row>
    <row r="845" spans="1:12" x14ac:dyDescent="0.3">
      <c r="A845" s="2">
        <v>45740</v>
      </c>
      <c r="B845" s="1">
        <v>5767.57</v>
      </c>
      <c r="C845" s="1">
        <v>18188.59</v>
      </c>
      <c r="D845">
        <v>116.99760000000001</v>
      </c>
      <c r="E845">
        <v>2632.07</v>
      </c>
      <c r="F845">
        <v>720.22</v>
      </c>
      <c r="G845">
        <v>78.267899999999997</v>
      </c>
      <c r="H845">
        <v>89.442400000000006</v>
      </c>
      <c r="I845" s="3">
        <v>2.75</v>
      </c>
      <c r="J845" s="3">
        <v>2.7450000000000001</v>
      </c>
      <c r="K845" s="3">
        <v>4.3099999999999996</v>
      </c>
      <c r="L845" s="3">
        <v>2.7519999999999998</v>
      </c>
    </row>
    <row r="846" spans="1:12" x14ac:dyDescent="0.3">
      <c r="A846" s="2">
        <v>45741</v>
      </c>
      <c r="B846" s="1">
        <v>5776.65</v>
      </c>
      <c r="C846" s="1">
        <v>18271.86</v>
      </c>
      <c r="D846">
        <v>117.05629999999999</v>
      </c>
      <c r="E846">
        <v>2615.81</v>
      </c>
      <c r="F846">
        <v>711.26</v>
      </c>
      <c r="G846">
        <v>78.296300000000002</v>
      </c>
      <c r="H846">
        <v>89.593900000000005</v>
      </c>
      <c r="I846" s="3">
        <v>2.75</v>
      </c>
      <c r="J846" s="3">
        <v>2.738</v>
      </c>
      <c r="K846" s="3">
        <v>4.33</v>
      </c>
      <c r="L846" s="3">
        <v>2.7490000000000001</v>
      </c>
    </row>
    <row r="847" spans="1:12" x14ac:dyDescent="0.3">
      <c r="A847" s="2">
        <v>45742</v>
      </c>
      <c r="B847" s="1">
        <v>5712.2</v>
      </c>
      <c r="C847" s="1">
        <v>17899.02</v>
      </c>
      <c r="D847">
        <v>115.7662</v>
      </c>
      <c r="E847">
        <v>2643.94</v>
      </c>
      <c r="F847">
        <v>716.48</v>
      </c>
      <c r="G847">
        <v>78.277299999999997</v>
      </c>
      <c r="H847">
        <v>89.385599999999997</v>
      </c>
      <c r="I847" s="3">
        <v>2.75</v>
      </c>
      <c r="J847" s="3">
        <v>2.7269999999999999</v>
      </c>
      <c r="K847" s="3">
        <v>4.3499999999999996</v>
      </c>
      <c r="L847" s="3">
        <v>2.7330000000000001</v>
      </c>
    </row>
    <row r="848" spans="1:12" x14ac:dyDescent="0.3">
      <c r="A848" s="2">
        <v>45743</v>
      </c>
      <c r="B848" s="1">
        <v>5693.31</v>
      </c>
      <c r="C848" s="1">
        <v>17804.03</v>
      </c>
      <c r="D848">
        <v>115.6</v>
      </c>
      <c r="E848">
        <v>2607.15</v>
      </c>
      <c r="F848">
        <v>707.49</v>
      </c>
      <c r="G848">
        <v>78.315299999999993</v>
      </c>
      <c r="H848">
        <v>89.309899999999999</v>
      </c>
      <c r="I848" s="3">
        <v>2.75</v>
      </c>
      <c r="J848" s="3">
        <v>2.7130000000000001</v>
      </c>
      <c r="K848" s="3">
        <v>4.3600000000000003</v>
      </c>
      <c r="L848" s="3">
        <v>2.7309999999999999</v>
      </c>
    </row>
    <row r="849" spans="1:12" x14ac:dyDescent="0.3">
      <c r="A849" s="2">
        <v>45744</v>
      </c>
      <c r="B849" s="1">
        <v>5580.94</v>
      </c>
      <c r="C849" s="1">
        <v>17322.990000000002</v>
      </c>
      <c r="D849">
        <v>113.6062</v>
      </c>
      <c r="E849">
        <v>2557.98</v>
      </c>
      <c r="F849">
        <v>693.76</v>
      </c>
      <c r="G849">
        <v>78.457700000000003</v>
      </c>
      <c r="H849">
        <v>90.029399999999995</v>
      </c>
      <c r="I849" s="3">
        <v>2.75</v>
      </c>
      <c r="J849" s="3">
        <v>2.6970000000000001</v>
      </c>
      <c r="K849" s="3">
        <v>4.34</v>
      </c>
      <c r="L849" s="3">
        <v>2.7320000000000002</v>
      </c>
    </row>
    <row r="850" spans="1:12" x14ac:dyDescent="0.3">
      <c r="A850" s="2">
        <v>45747</v>
      </c>
      <c r="B850" s="1">
        <v>5611.85</v>
      </c>
      <c r="C850" s="1">
        <v>17299.29</v>
      </c>
      <c r="D850">
        <v>113.75279999999999</v>
      </c>
      <c r="E850">
        <v>2481.12</v>
      </c>
      <c r="F850">
        <v>672.85</v>
      </c>
      <c r="G850">
        <v>78.514600000000002</v>
      </c>
      <c r="H850">
        <v>90.294499999999999</v>
      </c>
      <c r="I850" s="3">
        <v>2.75</v>
      </c>
      <c r="J850" s="3">
        <v>2.7749999999999999</v>
      </c>
      <c r="K850" s="3">
        <v>4.41</v>
      </c>
      <c r="L850" s="3">
        <v>2.7759999999999998</v>
      </c>
    </row>
    <row r="851" spans="1:12" x14ac:dyDescent="0.3">
      <c r="A851" s="2">
        <v>45748</v>
      </c>
      <c r="B851" s="1">
        <v>5633.07</v>
      </c>
      <c r="C851" s="1">
        <v>17449.89</v>
      </c>
      <c r="D851">
        <v>114.15349999999999</v>
      </c>
      <c r="E851">
        <v>2521.39</v>
      </c>
      <c r="F851">
        <v>691.45</v>
      </c>
      <c r="G851">
        <v>78.543000000000006</v>
      </c>
      <c r="H851">
        <v>90.611500000000007</v>
      </c>
      <c r="I851" s="3">
        <v>2.75</v>
      </c>
      <c r="J851" s="3">
        <v>2.7189999999999999</v>
      </c>
      <c r="K851" s="3">
        <v>4.3899999999999997</v>
      </c>
      <c r="L851" s="3">
        <v>2.7410000000000001</v>
      </c>
    </row>
    <row r="852" spans="1:12" x14ac:dyDescent="0.3">
      <c r="A852" s="2">
        <v>45749</v>
      </c>
      <c r="B852" s="1">
        <v>5670.97</v>
      </c>
      <c r="C852" s="1">
        <v>17601.05</v>
      </c>
      <c r="D852">
        <v>114.74</v>
      </c>
      <c r="E852">
        <v>2505.86</v>
      </c>
      <c r="F852">
        <v>684.85</v>
      </c>
      <c r="G852">
        <v>78.485799999999998</v>
      </c>
      <c r="H852">
        <v>90.525999999999996</v>
      </c>
      <c r="I852" s="3">
        <v>2.75</v>
      </c>
      <c r="J852" s="3">
        <v>2.7469999999999999</v>
      </c>
      <c r="K852" s="3">
        <v>4.37</v>
      </c>
      <c r="L852" s="3">
        <v>2.7530000000000001</v>
      </c>
    </row>
    <row r="853" spans="1:12" x14ac:dyDescent="0.3">
      <c r="A853" s="2">
        <v>45750</v>
      </c>
      <c r="B853" s="1">
        <v>5396.52</v>
      </c>
      <c r="C853" s="1">
        <v>16550.61</v>
      </c>
      <c r="D853">
        <v>110.35169999999999</v>
      </c>
      <c r="E853">
        <v>2486.6999999999998</v>
      </c>
      <c r="F853">
        <v>683.49</v>
      </c>
      <c r="G853">
        <v>78.781000000000006</v>
      </c>
      <c r="H853">
        <v>91.456800000000001</v>
      </c>
      <c r="I853" s="3">
        <v>2.75</v>
      </c>
      <c r="J853" s="3">
        <v>2.7559999999999998</v>
      </c>
      <c r="K853" s="3">
        <v>4.3899999999999997</v>
      </c>
      <c r="L853" s="3">
        <v>2.766</v>
      </c>
    </row>
    <row r="854" spans="1:12" x14ac:dyDescent="0.3">
      <c r="A854" s="2">
        <v>45751</v>
      </c>
      <c r="B854" s="1">
        <v>5074.08</v>
      </c>
      <c r="C854" s="1">
        <v>15587.79</v>
      </c>
      <c r="D854">
        <v>103.59829999999999</v>
      </c>
      <c r="E854">
        <v>2465.42</v>
      </c>
      <c r="F854">
        <v>687.39</v>
      </c>
      <c r="G854">
        <v>78.733400000000003</v>
      </c>
      <c r="H854">
        <v>91.713200000000001</v>
      </c>
      <c r="I854" s="3">
        <v>2.75</v>
      </c>
      <c r="J854" s="3">
        <v>2.7839999999999998</v>
      </c>
      <c r="K854" s="3">
        <v>4.3499999999999996</v>
      </c>
      <c r="L854" s="3">
        <v>2.7639999999999998</v>
      </c>
    </row>
    <row r="855" spans="1:12" x14ac:dyDescent="0.3">
      <c r="A855" s="2">
        <v>45754</v>
      </c>
      <c r="B855" s="1">
        <v>5062.25</v>
      </c>
      <c r="C855" s="1">
        <v>15603.26</v>
      </c>
      <c r="D855">
        <v>102.5916</v>
      </c>
      <c r="E855">
        <v>2328.1999999999998</v>
      </c>
      <c r="F855">
        <v>651.29999999999995</v>
      </c>
      <c r="G855">
        <v>78.742999999999995</v>
      </c>
      <c r="H855">
        <v>90.620999999999995</v>
      </c>
      <c r="I855" s="3">
        <v>2.75</v>
      </c>
      <c r="J855" s="3">
        <v>2.8130000000000002</v>
      </c>
      <c r="K855" s="3">
        <v>4.33</v>
      </c>
      <c r="L855" s="3">
        <v>2.782</v>
      </c>
    </row>
    <row r="856" spans="1:12" x14ac:dyDescent="0.3">
      <c r="A856" s="2">
        <v>45755</v>
      </c>
      <c r="B856" s="1">
        <v>4982.7700000000004</v>
      </c>
      <c r="C856" s="1">
        <v>15267.91</v>
      </c>
      <c r="D856">
        <v>101.24290000000001</v>
      </c>
      <c r="E856">
        <v>2334.23</v>
      </c>
      <c r="F856">
        <v>658.45</v>
      </c>
      <c r="G856">
        <v>78.695300000000003</v>
      </c>
      <c r="H856">
        <v>90.165000000000006</v>
      </c>
      <c r="I856" s="3">
        <v>2.75</v>
      </c>
      <c r="J856" s="3">
        <v>2.8</v>
      </c>
      <c r="K856" s="3">
        <v>4.4000000000000004</v>
      </c>
      <c r="L856" s="3">
        <v>2.7170000000000001</v>
      </c>
    </row>
    <row r="857" spans="1:12" x14ac:dyDescent="0.3">
      <c r="A857" s="2">
        <v>45756</v>
      </c>
      <c r="B857" s="1">
        <v>5456.9</v>
      </c>
      <c r="C857" s="1">
        <v>17124.97</v>
      </c>
      <c r="D857">
        <v>110.1464</v>
      </c>
      <c r="E857">
        <v>2293.6999999999998</v>
      </c>
      <c r="F857">
        <v>643.39</v>
      </c>
      <c r="G857">
        <v>78.6477</v>
      </c>
      <c r="H857">
        <v>89.880099999999999</v>
      </c>
      <c r="I857" s="3">
        <v>2.75</v>
      </c>
      <c r="J857" s="3">
        <v>2.7989999999999999</v>
      </c>
      <c r="K857" s="3">
        <v>4.42</v>
      </c>
      <c r="L857" s="3">
        <v>2.742</v>
      </c>
    </row>
    <row r="858" spans="1:12" x14ac:dyDescent="0.3">
      <c r="A858" s="2">
        <v>45757</v>
      </c>
      <c r="B858" s="1">
        <v>5268.05</v>
      </c>
      <c r="C858" s="1">
        <v>16387.310000000001</v>
      </c>
      <c r="D858">
        <v>106.77460000000001</v>
      </c>
      <c r="E858">
        <v>2445.06</v>
      </c>
      <c r="F858">
        <v>681.79</v>
      </c>
      <c r="G858">
        <v>78.638199999999998</v>
      </c>
      <c r="H858">
        <v>89.319699999999997</v>
      </c>
      <c r="I858" s="3">
        <v>2.75</v>
      </c>
      <c r="J858" s="3">
        <v>2.802</v>
      </c>
      <c r="K858" s="3">
        <v>4.37</v>
      </c>
      <c r="L858" s="3">
        <v>2.7909999999999999</v>
      </c>
    </row>
    <row r="859" spans="1:12" x14ac:dyDescent="0.3">
      <c r="A859" s="2">
        <v>45758</v>
      </c>
      <c r="B859" s="1">
        <v>5363.36</v>
      </c>
      <c r="C859" s="1">
        <v>16724.46</v>
      </c>
      <c r="D859">
        <v>108.5827</v>
      </c>
      <c r="E859">
        <v>2432.7199999999998</v>
      </c>
      <c r="F859">
        <v>695.59</v>
      </c>
      <c r="G859">
        <v>78.495400000000004</v>
      </c>
      <c r="H859">
        <v>88.816299999999998</v>
      </c>
      <c r="I859" s="3">
        <v>2.75</v>
      </c>
      <c r="J859" s="3">
        <v>2.802</v>
      </c>
      <c r="K859" s="3">
        <v>4.33</v>
      </c>
      <c r="L859" s="3">
        <v>2.7829999999999999</v>
      </c>
    </row>
    <row r="860" spans="1:12" x14ac:dyDescent="0.3">
      <c r="A860" s="2">
        <v>45761</v>
      </c>
      <c r="B860" s="1">
        <v>5405.97</v>
      </c>
      <c r="C860" s="1">
        <v>16831.48</v>
      </c>
      <c r="D860">
        <v>110.0976</v>
      </c>
      <c r="E860">
        <v>2455.89</v>
      </c>
      <c r="F860">
        <v>708.98</v>
      </c>
      <c r="G860">
        <v>78.666799999999995</v>
      </c>
      <c r="H860">
        <v>89.528700000000001</v>
      </c>
      <c r="I860" s="3">
        <v>2.75</v>
      </c>
      <c r="J860" s="3">
        <v>2.802</v>
      </c>
      <c r="K860" s="3">
        <v>4.33</v>
      </c>
      <c r="L860" s="3">
        <v>2.7749999999999999</v>
      </c>
    </row>
    <row r="861" spans="1:12" x14ac:dyDescent="0.3">
      <c r="A861" s="2">
        <v>45762</v>
      </c>
      <c r="B861" s="1">
        <v>5396.63</v>
      </c>
      <c r="C861" s="1">
        <v>16823.169999999998</v>
      </c>
      <c r="D861">
        <v>110.166</v>
      </c>
      <c r="E861">
        <v>2477.41</v>
      </c>
      <c r="F861">
        <v>711.92</v>
      </c>
      <c r="G861">
        <v>78.666799999999995</v>
      </c>
      <c r="H861">
        <v>89.794600000000003</v>
      </c>
      <c r="I861" s="3">
        <v>2.75</v>
      </c>
      <c r="J861" s="3">
        <v>2.7909999999999999</v>
      </c>
      <c r="K861" s="3">
        <v>4.3600000000000003</v>
      </c>
      <c r="L861" s="3">
        <v>2.7559999999999998</v>
      </c>
    </row>
    <row r="862" spans="1:12" x14ac:dyDescent="0.3">
      <c r="A862" s="2">
        <v>45763</v>
      </c>
      <c r="B862" s="1">
        <v>5275.7</v>
      </c>
      <c r="C862" s="1">
        <v>16307.16</v>
      </c>
      <c r="D862">
        <v>108.4166</v>
      </c>
      <c r="E862">
        <v>2447.4299999999998</v>
      </c>
      <c r="F862">
        <v>699.11</v>
      </c>
      <c r="G862">
        <v>78.771500000000003</v>
      </c>
      <c r="H862">
        <v>90.183999999999997</v>
      </c>
      <c r="I862" s="3">
        <v>2.75</v>
      </c>
      <c r="J862" s="3">
        <v>2.778</v>
      </c>
      <c r="K862" s="3">
        <v>4.3099999999999996</v>
      </c>
      <c r="L862" s="3">
        <v>2.7519999999999998</v>
      </c>
    </row>
    <row r="863" spans="1:12" x14ac:dyDescent="0.3">
      <c r="A863" s="2">
        <v>45764</v>
      </c>
      <c r="B863" s="1">
        <v>5282.7</v>
      </c>
      <c r="C863" s="1">
        <v>16286.45</v>
      </c>
      <c r="D863">
        <v>108.8759</v>
      </c>
      <c r="E863">
        <v>2470.41</v>
      </c>
      <c r="F863">
        <v>711.75</v>
      </c>
      <c r="G863">
        <v>78.8001</v>
      </c>
      <c r="H863">
        <v>89.927599999999998</v>
      </c>
      <c r="I863" s="3">
        <v>2.75</v>
      </c>
      <c r="J863" s="3">
        <v>2.7919999999999998</v>
      </c>
      <c r="K863" s="3">
        <v>4.32</v>
      </c>
      <c r="L863" s="3">
        <v>2.782</v>
      </c>
    </row>
    <row r="864" spans="1:12" x14ac:dyDescent="0.3">
      <c r="A864" s="2">
        <v>45765</v>
      </c>
      <c r="B864" s="1">
        <v>5282.7</v>
      </c>
      <c r="C864" s="1">
        <v>16286.45</v>
      </c>
      <c r="D864">
        <v>108.8759</v>
      </c>
      <c r="E864">
        <v>2483.42</v>
      </c>
      <c r="F864">
        <v>717.77</v>
      </c>
      <c r="G864">
        <v>78.8001</v>
      </c>
      <c r="H864">
        <v>89.927599999999998</v>
      </c>
      <c r="I864" s="3">
        <v>2.75</v>
      </c>
      <c r="J864" s="3">
        <v>2.8119999999999998</v>
      </c>
      <c r="K864" s="3">
        <v>4.32</v>
      </c>
      <c r="L864" s="3">
        <v>2.7810000000000001</v>
      </c>
    </row>
    <row r="865" spans="1:12" x14ac:dyDescent="0.3">
      <c r="A865" s="2">
        <v>45768</v>
      </c>
      <c r="B865" s="1">
        <v>5158.2</v>
      </c>
      <c r="C865" s="1">
        <v>15870.9</v>
      </c>
      <c r="D865">
        <v>107.11669999999999</v>
      </c>
      <c r="E865">
        <v>2488.42</v>
      </c>
      <c r="F865">
        <v>715.45</v>
      </c>
      <c r="G865">
        <v>78.752499999999998</v>
      </c>
      <c r="H865">
        <v>89.443200000000004</v>
      </c>
      <c r="I865" s="3">
        <v>2.75</v>
      </c>
      <c r="J865" s="3">
        <v>2.8010000000000002</v>
      </c>
      <c r="K865" s="3">
        <v>4.32</v>
      </c>
      <c r="L865" s="3">
        <v>2.7770000000000001</v>
      </c>
    </row>
    <row r="866" spans="1:12" x14ac:dyDescent="0.3">
      <c r="A866" s="2">
        <v>45769</v>
      </c>
      <c r="B866" s="1">
        <v>5287.76</v>
      </c>
      <c r="C866" s="1">
        <v>16300.42</v>
      </c>
      <c r="D866">
        <v>109.5307</v>
      </c>
      <c r="E866">
        <v>2486.64</v>
      </c>
      <c r="F866">
        <v>716.12</v>
      </c>
      <c r="G866">
        <v>78.781000000000006</v>
      </c>
      <c r="H866">
        <v>89.509699999999995</v>
      </c>
      <c r="I866" s="3">
        <v>2.75</v>
      </c>
      <c r="J866" s="3">
        <v>2.8010000000000002</v>
      </c>
      <c r="K866" s="3">
        <v>4.3</v>
      </c>
      <c r="L866" s="3">
        <v>2.7759999999999998</v>
      </c>
    </row>
    <row r="867" spans="1:12" x14ac:dyDescent="0.3">
      <c r="A867" s="2">
        <v>45770</v>
      </c>
      <c r="B867" s="1">
        <v>5375.86</v>
      </c>
      <c r="C867" s="1">
        <v>16708.05</v>
      </c>
      <c r="D867">
        <v>110.86969999999999</v>
      </c>
      <c r="E867">
        <v>2525.56</v>
      </c>
      <c r="F867">
        <v>726.08</v>
      </c>
      <c r="G867">
        <v>78.7239</v>
      </c>
      <c r="H867">
        <v>89.604699999999994</v>
      </c>
      <c r="I867" s="3">
        <v>2.75</v>
      </c>
      <c r="J867" s="3">
        <v>2.8010000000000002</v>
      </c>
      <c r="K867" s="3">
        <v>4.28</v>
      </c>
      <c r="L867" s="3">
        <v>2.7759999999999998</v>
      </c>
    </row>
    <row r="868" spans="1:12" x14ac:dyDescent="0.3">
      <c r="A868" s="2">
        <v>45771</v>
      </c>
      <c r="B868" s="1">
        <v>5484.77</v>
      </c>
      <c r="C868" s="1">
        <v>17166.04</v>
      </c>
      <c r="D868">
        <v>112.89279999999999</v>
      </c>
      <c r="E868">
        <v>2522.33</v>
      </c>
      <c r="F868">
        <v>726.08</v>
      </c>
      <c r="G868">
        <v>78.819100000000006</v>
      </c>
      <c r="H868">
        <v>90.089100000000002</v>
      </c>
      <c r="I868" s="3">
        <v>2.75</v>
      </c>
      <c r="J868" s="3">
        <v>2.802</v>
      </c>
      <c r="K868" s="3">
        <v>4.29</v>
      </c>
      <c r="L868" s="3">
        <v>2.786</v>
      </c>
    </row>
    <row r="869" spans="1:12" x14ac:dyDescent="0.3">
      <c r="A869" s="2">
        <v>45772</v>
      </c>
      <c r="B869" s="1">
        <v>5525.21</v>
      </c>
      <c r="C869" s="1">
        <v>17382.939999999999</v>
      </c>
      <c r="D869">
        <v>113.5476</v>
      </c>
      <c r="E869">
        <v>2546.3000000000002</v>
      </c>
      <c r="F869">
        <v>729.69</v>
      </c>
      <c r="G869">
        <v>78.885800000000003</v>
      </c>
      <c r="H869">
        <v>90.430999999999997</v>
      </c>
      <c r="I869" s="3">
        <v>2.75</v>
      </c>
      <c r="J869" s="3">
        <v>2.8039999999999998</v>
      </c>
      <c r="K869" s="3">
        <v>4.33</v>
      </c>
      <c r="L869" s="3">
        <v>2.782</v>
      </c>
    </row>
    <row r="870" spans="1:12" x14ac:dyDescent="0.3">
      <c r="A870" s="2">
        <v>45775</v>
      </c>
      <c r="B870" s="1">
        <v>5528.75</v>
      </c>
      <c r="C870" s="1">
        <v>17366.13</v>
      </c>
      <c r="D870">
        <v>113.76260000000001</v>
      </c>
      <c r="E870">
        <v>2548.86</v>
      </c>
      <c r="F870">
        <v>719.41</v>
      </c>
      <c r="G870">
        <v>79.000100000000003</v>
      </c>
      <c r="H870">
        <v>90.791899999999998</v>
      </c>
      <c r="I870" s="3">
        <v>2.75</v>
      </c>
      <c r="J870" s="3">
        <v>2.7930000000000001</v>
      </c>
      <c r="K870" s="3">
        <v>4.3600000000000003</v>
      </c>
      <c r="L870" s="3">
        <v>2.7519999999999998</v>
      </c>
    </row>
    <row r="871" spans="1:12" x14ac:dyDescent="0.3">
      <c r="A871" s="2">
        <v>45776</v>
      </c>
      <c r="B871" s="1">
        <v>5560.83</v>
      </c>
      <c r="C871" s="1">
        <v>17461.32</v>
      </c>
      <c r="D871">
        <v>114.33920000000001</v>
      </c>
      <c r="E871">
        <v>2565.42</v>
      </c>
      <c r="F871">
        <v>726.46</v>
      </c>
      <c r="G871">
        <v>79.047700000000006</v>
      </c>
      <c r="H871">
        <v>91.105400000000003</v>
      </c>
      <c r="I871" s="3">
        <v>2.75</v>
      </c>
      <c r="J871" s="3">
        <v>2.7639999999999998</v>
      </c>
      <c r="K871" s="3">
        <v>4.3600000000000003</v>
      </c>
      <c r="L871" s="3">
        <v>2.7669999999999999</v>
      </c>
    </row>
    <row r="872" spans="1:12" x14ac:dyDescent="0.3">
      <c r="A872" s="2">
        <v>45777</v>
      </c>
      <c r="B872" s="1">
        <v>5569.06</v>
      </c>
      <c r="C872" s="1">
        <v>17446.34</v>
      </c>
      <c r="D872">
        <v>114.33920000000001</v>
      </c>
      <c r="E872">
        <v>2556.61</v>
      </c>
      <c r="F872">
        <v>717.24</v>
      </c>
      <c r="G872">
        <v>79.1524</v>
      </c>
      <c r="H872">
        <v>91.247799999999998</v>
      </c>
      <c r="I872" s="3">
        <v>2.75</v>
      </c>
      <c r="J872" s="3">
        <v>2.7930000000000001</v>
      </c>
      <c r="K872" s="3">
        <v>4.41</v>
      </c>
      <c r="L872" s="3">
        <v>2.7829999999999999</v>
      </c>
    </row>
    <row r="873" spans="1:12" x14ac:dyDescent="0.3">
      <c r="A873" s="2">
        <v>45778</v>
      </c>
      <c r="B873" s="1">
        <v>5604.14</v>
      </c>
      <c r="C873" s="1">
        <v>17710.740000000002</v>
      </c>
      <c r="D873">
        <v>114.7595</v>
      </c>
      <c r="E873">
        <v>2556.61</v>
      </c>
      <c r="F873">
        <v>717.24</v>
      </c>
      <c r="G873">
        <v>78.989199999999997</v>
      </c>
      <c r="H873">
        <v>90.850800000000007</v>
      </c>
      <c r="I873" s="3">
        <v>2.75</v>
      </c>
      <c r="J873" s="3">
        <v>2.7930000000000001</v>
      </c>
      <c r="K873" s="3">
        <v>4.3899999999999997</v>
      </c>
      <c r="L873" s="3">
        <v>2.75</v>
      </c>
    </row>
    <row r="874" spans="1:12" x14ac:dyDescent="0.3">
      <c r="A874" s="2">
        <v>45779</v>
      </c>
      <c r="B874" s="1">
        <v>5686.67</v>
      </c>
      <c r="C874" s="1">
        <v>17977.73</v>
      </c>
      <c r="D874">
        <v>116.70440000000001</v>
      </c>
      <c r="E874">
        <v>2559.79</v>
      </c>
      <c r="F874">
        <v>721.86</v>
      </c>
      <c r="G874">
        <v>78.836399999999998</v>
      </c>
      <c r="H874">
        <v>90.241</v>
      </c>
      <c r="I874" s="3">
        <v>2.75</v>
      </c>
      <c r="J874" s="3">
        <v>2.81</v>
      </c>
      <c r="K874" s="3">
        <v>4.3600000000000003</v>
      </c>
      <c r="L874" s="3">
        <v>2.75</v>
      </c>
    </row>
    <row r="875" spans="1:12" x14ac:dyDescent="0.3">
      <c r="A875" s="2">
        <v>45782</v>
      </c>
      <c r="B875" s="1">
        <v>5650.38</v>
      </c>
      <c r="C875" s="1">
        <v>17844.240000000002</v>
      </c>
      <c r="D875">
        <v>116.46980000000001</v>
      </c>
      <c r="E875">
        <v>2559.79</v>
      </c>
      <c r="F875">
        <v>721.86</v>
      </c>
      <c r="G875">
        <v>78.826899999999995</v>
      </c>
      <c r="H875">
        <v>90.078999999999994</v>
      </c>
      <c r="I875" s="3">
        <v>2.75</v>
      </c>
      <c r="J875" s="3">
        <v>2.81</v>
      </c>
      <c r="K875" s="3">
        <v>4.33</v>
      </c>
      <c r="L875" s="3">
        <v>2.75</v>
      </c>
    </row>
    <row r="876" spans="1:12" x14ac:dyDescent="0.3">
      <c r="A876" s="2">
        <v>45783</v>
      </c>
      <c r="B876" s="1">
        <v>5606.91</v>
      </c>
      <c r="C876" s="1">
        <v>17689.66</v>
      </c>
      <c r="D876">
        <v>115.7955</v>
      </c>
      <c r="E876">
        <v>2559.79</v>
      </c>
      <c r="F876">
        <v>721.86</v>
      </c>
      <c r="G876">
        <v>78.893699999999995</v>
      </c>
      <c r="H876">
        <v>90.307699999999997</v>
      </c>
      <c r="I876" s="3">
        <v>2.75</v>
      </c>
      <c r="J876" s="3">
        <v>2.81</v>
      </c>
      <c r="K876" s="3">
        <v>4.32</v>
      </c>
      <c r="L876" s="3">
        <v>2.75</v>
      </c>
    </row>
    <row r="877" spans="1:12" x14ac:dyDescent="0.3">
      <c r="A877" s="2">
        <v>45784</v>
      </c>
      <c r="B877" s="1">
        <v>5631.28</v>
      </c>
      <c r="C877" s="1">
        <v>17738.16</v>
      </c>
      <c r="D877">
        <v>115.89319999999999</v>
      </c>
      <c r="E877">
        <v>2573.8000000000002</v>
      </c>
      <c r="F877">
        <v>722.81</v>
      </c>
      <c r="G877">
        <v>78.922399999999996</v>
      </c>
      <c r="H877">
        <v>90.545900000000003</v>
      </c>
      <c r="I877" s="3">
        <v>2.75</v>
      </c>
      <c r="J877" s="3">
        <v>2.8109999999999999</v>
      </c>
      <c r="K877" s="3">
        <v>4.3</v>
      </c>
      <c r="L877" s="3">
        <v>2.7330000000000001</v>
      </c>
    </row>
    <row r="878" spans="1:12" x14ac:dyDescent="0.3">
      <c r="A878" s="2">
        <v>45785</v>
      </c>
      <c r="B878" s="1">
        <v>5663.94</v>
      </c>
      <c r="C878" s="1">
        <v>17928.14</v>
      </c>
      <c r="D878">
        <v>116.2744</v>
      </c>
      <c r="E878">
        <v>2579.48</v>
      </c>
      <c r="F878">
        <v>729.59</v>
      </c>
      <c r="G878">
        <v>78.760000000000005</v>
      </c>
      <c r="H878">
        <v>89.840699999999998</v>
      </c>
      <c r="I878" s="3">
        <v>2.75</v>
      </c>
      <c r="J878" s="3">
        <v>2.762</v>
      </c>
      <c r="K878" s="3">
        <v>4.29</v>
      </c>
      <c r="L878" s="3">
        <v>2.758</v>
      </c>
    </row>
    <row r="879" spans="1:12" x14ac:dyDescent="0.3">
      <c r="A879" s="2">
        <v>45786</v>
      </c>
      <c r="B879" s="1">
        <v>5659.91</v>
      </c>
      <c r="C879" s="1">
        <v>17928.919999999998</v>
      </c>
      <c r="D879">
        <v>116.4308</v>
      </c>
      <c r="E879">
        <v>2577.27</v>
      </c>
      <c r="F879">
        <v>722.52</v>
      </c>
      <c r="G879">
        <v>78.798199999999994</v>
      </c>
      <c r="H879">
        <v>89.907399999999996</v>
      </c>
      <c r="I879" s="3">
        <v>2.75</v>
      </c>
      <c r="J879" s="3">
        <v>2.7829999999999999</v>
      </c>
      <c r="K879" s="3">
        <v>4.28</v>
      </c>
      <c r="L879" s="3">
        <v>2.7719999999999998</v>
      </c>
    </row>
    <row r="880" spans="1:12" x14ac:dyDescent="0.3">
      <c r="A880" s="2">
        <v>45789</v>
      </c>
      <c r="B880" s="1">
        <v>5844.19</v>
      </c>
      <c r="C880" s="1">
        <v>18708.34</v>
      </c>
      <c r="D880">
        <v>119.265</v>
      </c>
      <c r="E880">
        <v>2607.33</v>
      </c>
      <c r="F880">
        <v>725.4</v>
      </c>
      <c r="G880">
        <v>78.654899999999998</v>
      </c>
      <c r="H880">
        <v>89.335700000000003</v>
      </c>
      <c r="I880" s="3">
        <v>2.75</v>
      </c>
      <c r="J880" s="3">
        <v>2.8119999999999998</v>
      </c>
      <c r="K880" s="3">
        <v>4.28</v>
      </c>
      <c r="L880" s="3">
        <v>2.7839999999999998</v>
      </c>
    </row>
    <row r="881" spans="1:12" x14ac:dyDescent="0.3">
      <c r="A881" s="2">
        <v>45790</v>
      </c>
      <c r="B881" s="1">
        <v>5886.55</v>
      </c>
      <c r="C881" s="1">
        <v>19010.080000000002</v>
      </c>
      <c r="D881">
        <v>119.9003</v>
      </c>
      <c r="E881">
        <v>2608.42</v>
      </c>
      <c r="F881">
        <v>731.88</v>
      </c>
      <c r="G881">
        <v>78.635800000000003</v>
      </c>
      <c r="H881">
        <v>89.269000000000005</v>
      </c>
      <c r="I881" s="3">
        <v>2.75</v>
      </c>
      <c r="J881" s="3">
        <v>2.8109999999999999</v>
      </c>
      <c r="K881" s="3">
        <v>4.3</v>
      </c>
      <c r="L881" s="3">
        <v>2.7869999999999999</v>
      </c>
    </row>
    <row r="882" spans="1:12" x14ac:dyDescent="0.3">
      <c r="A882" s="2">
        <v>45791</v>
      </c>
      <c r="B882" s="1">
        <v>5892.58</v>
      </c>
      <c r="C882" s="1">
        <v>19146.810000000001</v>
      </c>
      <c r="D882">
        <v>120.0078</v>
      </c>
      <c r="E882">
        <v>2640.57</v>
      </c>
      <c r="F882">
        <v>739.05</v>
      </c>
      <c r="G882">
        <v>78.578500000000005</v>
      </c>
      <c r="H882">
        <v>88.935500000000005</v>
      </c>
      <c r="I882" s="3">
        <v>2.75</v>
      </c>
      <c r="J882" s="3">
        <v>2.8119999999999998</v>
      </c>
      <c r="K882" s="3">
        <v>4.29</v>
      </c>
      <c r="L882" s="3">
        <v>2.7789999999999999</v>
      </c>
    </row>
    <row r="883" spans="1:12" x14ac:dyDescent="0.3">
      <c r="A883" s="2">
        <v>45792</v>
      </c>
      <c r="B883" s="1">
        <v>5916.93</v>
      </c>
      <c r="C883" s="1">
        <v>19112.32</v>
      </c>
      <c r="D883">
        <v>120.6529</v>
      </c>
      <c r="E883">
        <v>2621.36</v>
      </c>
      <c r="F883">
        <v>733.23</v>
      </c>
      <c r="G883">
        <v>78.731300000000005</v>
      </c>
      <c r="H883">
        <v>89.5167</v>
      </c>
      <c r="I883" s="3">
        <v>2.75</v>
      </c>
      <c r="J883" s="3">
        <v>2.7829999999999999</v>
      </c>
      <c r="K883" s="3">
        <v>4.3099999999999996</v>
      </c>
      <c r="L883" s="3">
        <v>2.76</v>
      </c>
    </row>
    <row r="884" spans="1:12" x14ac:dyDescent="0.3">
      <c r="A884" s="2">
        <v>45793</v>
      </c>
      <c r="B884" s="1">
        <v>5958.38</v>
      </c>
      <c r="C884" s="1">
        <v>19211.099999999999</v>
      </c>
      <c r="D884">
        <v>121.2295</v>
      </c>
      <c r="E884">
        <v>2626.87</v>
      </c>
      <c r="F884">
        <v>725.07</v>
      </c>
      <c r="G884">
        <v>78.712199999999996</v>
      </c>
      <c r="H884">
        <v>89.545299999999997</v>
      </c>
      <c r="I884" s="3">
        <v>2.75</v>
      </c>
      <c r="J884" s="3">
        <v>2.782</v>
      </c>
      <c r="K884" s="3">
        <v>4.3</v>
      </c>
      <c r="L884" s="3">
        <v>2.7690000000000001</v>
      </c>
    </row>
    <row r="885" spans="1:12" x14ac:dyDescent="0.3">
      <c r="A885" s="2">
        <v>45796</v>
      </c>
      <c r="B885" s="1">
        <v>5963.6</v>
      </c>
      <c r="C885" s="1">
        <v>19215.46</v>
      </c>
      <c r="D885">
        <v>121.61069999999999</v>
      </c>
      <c r="E885">
        <v>2603.42</v>
      </c>
      <c r="F885">
        <v>713.75</v>
      </c>
      <c r="G885">
        <v>78.740899999999996</v>
      </c>
      <c r="H885">
        <v>89.497699999999995</v>
      </c>
      <c r="I885" s="3">
        <v>2.75</v>
      </c>
      <c r="J885" s="3">
        <v>2.7709999999999999</v>
      </c>
      <c r="K885" s="3">
        <v>4.29</v>
      </c>
      <c r="L885" s="3">
        <v>2.7490000000000001</v>
      </c>
    </row>
    <row r="886" spans="1:12" x14ac:dyDescent="0.3">
      <c r="A886" s="2">
        <v>45797</v>
      </c>
      <c r="B886" s="1">
        <v>5940.46</v>
      </c>
      <c r="C886" s="1">
        <v>19142.71</v>
      </c>
      <c r="D886">
        <v>121.4738</v>
      </c>
      <c r="E886">
        <v>2601.8000000000002</v>
      </c>
      <c r="F886">
        <v>715.55</v>
      </c>
      <c r="G886">
        <v>78.750399999999999</v>
      </c>
      <c r="H886">
        <v>89.383300000000006</v>
      </c>
      <c r="I886" s="3">
        <v>2.75</v>
      </c>
      <c r="J886" s="3">
        <v>2.7669999999999999</v>
      </c>
      <c r="K886" s="3">
        <v>4.2699999999999996</v>
      </c>
      <c r="L886" s="3">
        <v>2.7490000000000001</v>
      </c>
    </row>
    <row r="887" spans="1:12" x14ac:dyDescent="0.3">
      <c r="A887" s="2">
        <v>45798</v>
      </c>
      <c r="B887" s="1">
        <v>5844.61</v>
      </c>
      <c r="C887" s="1">
        <v>18872.64</v>
      </c>
      <c r="D887">
        <v>119.9687</v>
      </c>
      <c r="E887">
        <v>2625.58</v>
      </c>
      <c r="F887">
        <v>723.62</v>
      </c>
      <c r="G887">
        <v>78.702699999999993</v>
      </c>
      <c r="H887">
        <v>88.763900000000007</v>
      </c>
      <c r="I887" s="3">
        <v>2.75</v>
      </c>
      <c r="J887" s="3">
        <v>2.77</v>
      </c>
      <c r="K887" s="3">
        <v>4.26</v>
      </c>
      <c r="L887" s="3">
        <v>2.7589999999999999</v>
      </c>
    </row>
    <row r="888" spans="1:12" x14ac:dyDescent="0.3">
      <c r="A888" s="2">
        <v>45799</v>
      </c>
      <c r="B888" s="1">
        <v>5842.01</v>
      </c>
      <c r="C888" s="1">
        <v>18925.73</v>
      </c>
      <c r="D888">
        <v>119.9003</v>
      </c>
      <c r="E888">
        <v>2593.67</v>
      </c>
      <c r="F888">
        <v>717.67</v>
      </c>
      <c r="G888">
        <v>78.750399999999999</v>
      </c>
      <c r="H888">
        <v>89.097499999999997</v>
      </c>
      <c r="I888" s="3">
        <v>2.75</v>
      </c>
      <c r="J888" s="3">
        <v>2.762</v>
      </c>
      <c r="K888" s="3">
        <v>4.26</v>
      </c>
      <c r="L888" s="3">
        <v>2.7509999999999999</v>
      </c>
    </row>
    <row r="889" spans="1:12" x14ac:dyDescent="0.3">
      <c r="A889" s="2">
        <v>45800</v>
      </c>
      <c r="B889" s="1">
        <v>5802.82</v>
      </c>
      <c r="C889" s="1">
        <v>18737.21</v>
      </c>
      <c r="D889">
        <v>119.52889999999999</v>
      </c>
      <c r="E889">
        <v>2592.09</v>
      </c>
      <c r="F889">
        <v>715.98</v>
      </c>
      <c r="G889">
        <v>78.798199999999994</v>
      </c>
      <c r="H889">
        <v>89.354699999999994</v>
      </c>
      <c r="I889" s="3">
        <v>2.75</v>
      </c>
      <c r="J889" s="3">
        <v>2.7930000000000001</v>
      </c>
      <c r="K889" s="3">
        <v>4.26</v>
      </c>
      <c r="L889" s="3">
        <v>2.7719999999999998</v>
      </c>
    </row>
    <row r="890" spans="1:12" x14ac:dyDescent="0.3">
      <c r="A890" s="2">
        <v>45803</v>
      </c>
      <c r="B890" s="1">
        <v>5802.82</v>
      </c>
      <c r="C890" s="1">
        <v>18737.21</v>
      </c>
      <c r="D890">
        <v>119.52889999999999</v>
      </c>
      <c r="E890">
        <v>2644.4</v>
      </c>
      <c r="F890">
        <v>725.27</v>
      </c>
      <c r="G890">
        <v>78.798199999999994</v>
      </c>
      <c r="H890">
        <v>89.354699999999994</v>
      </c>
      <c r="I890" s="3">
        <v>2.75</v>
      </c>
      <c r="J890" s="3">
        <v>2.8119999999999998</v>
      </c>
      <c r="K890" s="3">
        <v>4.26</v>
      </c>
      <c r="L890" s="3">
        <v>2.77</v>
      </c>
    </row>
    <row r="891" spans="1:12" x14ac:dyDescent="0.3">
      <c r="A891" s="2">
        <v>45804</v>
      </c>
      <c r="B891" s="1">
        <v>5921.54</v>
      </c>
      <c r="C891" s="1">
        <v>19199.16</v>
      </c>
      <c r="D891">
        <v>121.5325</v>
      </c>
      <c r="E891">
        <v>2637.22</v>
      </c>
      <c r="F891">
        <v>727.11</v>
      </c>
      <c r="G891">
        <v>78.826899999999995</v>
      </c>
      <c r="H891">
        <v>89.726399999999998</v>
      </c>
      <c r="I891" s="3">
        <v>2.75</v>
      </c>
      <c r="J891" s="3">
        <v>2.79</v>
      </c>
      <c r="K891" s="3">
        <v>4.3099999999999996</v>
      </c>
      <c r="L891" s="3">
        <v>2.7509999999999999</v>
      </c>
    </row>
    <row r="892" spans="1:12" x14ac:dyDescent="0.3">
      <c r="A892" s="2">
        <v>45805</v>
      </c>
      <c r="B892" s="1">
        <v>5888.55</v>
      </c>
      <c r="C892" s="1">
        <v>19100.939999999999</v>
      </c>
      <c r="D892">
        <v>120.6626</v>
      </c>
      <c r="E892">
        <v>2670.15</v>
      </c>
      <c r="F892">
        <v>728.79</v>
      </c>
      <c r="G892">
        <v>78.769499999999994</v>
      </c>
      <c r="H892">
        <v>89.4786</v>
      </c>
      <c r="I892" s="3">
        <v>2.75</v>
      </c>
      <c r="J892" s="3">
        <v>2.74</v>
      </c>
      <c r="K892" s="3">
        <v>4.33</v>
      </c>
      <c r="L892" s="3">
        <v>2.7360000000000002</v>
      </c>
    </row>
    <row r="893" spans="1:12" x14ac:dyDescent="0.3">
      <c r="A893" s="2">
        <v>45806</v>
      </c>
      <c r="B893" s="1">
        <v>5912.17</v>
      </c>
      <c r="C893" s="1">
        <v>19175.87</v>
      </c>
      <c r="D893">
        <v>121.10250000000001</v>
      </c>
      <c r="E893">
        <v>2720.64</v>
      </c>
      <c r="F893">
        <v>736.29</v>
      </c>
      <c r="G893">
        <v>78.855500000000006</v>
      </c>
      <c r="H893">
        <v>89.850300000000004</v>
      </c>
      <c r="I893" s="3">
        <v>2.5</v>
      </c>
      <c r="J893" s="3">
        <v>2.5609999999999999</v>
      </c>
      <c r="K893" s="3">
        <v>4.33</v>
      </c>
      <c r="L893" s="3">
        <v>2.548</v>
      </c>
    </row>
    <row r="894" spans="1:12" x14ac:dyDescent="0.3">
      <c r="A894" s="2">
        <v>45807</v>
      </c>
      <c r="B894" s="1">
        <v>5911.69</v>
      </c>
      <c r="C894" s="1">
        <v>19113.77</v>
      </c>
      <c r="D894">
        <v>120.84829999999999</v>
      </c>
      <c r="E894">
        <v>2697.67</v>
      </c>
      <c r="F894">
        <v>734.35</v>
      </c>
      <c r="G894">
        <v>78.950999999999993</v>
      </c>
      <c r="H894">
        <v>90.117099999999994</v>
      </c>
      <c r="I894" s="3">
        <v>2.5</v>
      </c>
      <c r="J894" s="3">
        <v>2.5910000000000002</v>
      </c>
      <c r="K894" s="3">
        <v>4.3499999999999996</v>
      </c>
      <c r="L894" s="3">
        <v>2.5819999999999999</v>
      </c>
    </row>
    <row r="895" spans="1:12" x14ac:dyDescent="0.3">
      <c r="A895" s="2">
        <v>45810</v>
      </c>
      <c r="B895" s="1">
        <v>5935.94</v>
      </c>
      <c r="C895" s="1">
        <v>19242.61</v>
      </c>
      <c r="D895">
        <v>121.7475</v>
      </c>
      <c r="E895">
        <v>2698.97</v>
      </c>
      <c r="F895">
        <v>740.29</v>
      </c>
      <c r="G895">
        <v>78.8857</v>
      </c>
      <c r="H895">
        <v>89.811199999999999</v>
      </c>
      <c r="I895" s="3">
        <v>2.5</v>
      </c>
      <c r="J895" s="3">
        <v>2.5609999999999999</v>
      </c>
      <c r="K895" s="3">
        <v>4.3499999999999996</v>
      </c>
      <c r="L895" s="3">
        <v>2.5379999999999998</v>
      </c>
    </row>
    <row r="896" spans="1:12" x14ac:dyDescent="0.3">
      <c r="A896" s="2">
        <v>45811</v>
      </c>
      <c r="B896" s="1">
        <v>5970.37</v>
      </c>
      <c r="C896" s="1">
        <v>19398.96</v>
      </c>
      <c r="D896">
        <v>122.02119999999999</v>
      </c>
      <c r="E896">
        <v>2698.97</v>
      </c>
      <c r="F896">
        <v>740.29</v>
      </c>
      <c r="G896">
        <v>78.866500000000002</v>
      </c>
      <c r="H896">
        <v>89.725200000000001</v>
      </c>
      <c r="I896" s="3">
        <v>2.5</v>
      </c>
      <c r="J896" s="3">
        <v>2.5609999999999999</v>
      </c>
      <c r="K896" s="3">
        <v>4.32</v>
      </c>
      <c r="L896" s="3">
        <v>2.5</v>
      </c>
    </row>
    <row r="897" spans="1:12" x14ac:dyDescent="0.3">
      <c r="A897" s="2">
        <v>45812</v>
      </c>
      <c r="B897" s="1">
        <v>5970.81</v>
      </c>
      <c r="C897" s="1">
        <v>19460.490000000002</v>
      </c>
      <c r="D897">
        <v>122.3339</v>
      </c>
      <c r="E897">
        <v>2770.84</v>
      </c>
      <c r="F897">
        <v>750.21</v>
      </c>
      <c r="G897">
        <v>79.010300000000001</v>
      </c>
      <c r="H897">
        <v>90.384900000000002</v>
      </c>
      <c r="I897" s="3">
        <v>2.5</v>
      </c>
      <c r="J897" s="3">
        <v>2.5129999999999999</v>
      </c>
      <c r="K897" s="3">
        <v>4.28</v>
      </c>
      <c r="L897" s="3">
        <v>2.5169999999999999</v>
      </c>
    </row>
    <row r="898" spans="1:12" x14ac:dyDescent="0.3">
      <c r="A898" s="2">
        <v>45813</v>
      </c>
      <c r="B898" s="1">
        <v>5939.3</v>
      </c>
      <c r="C898" s="1">
        <v>19298.45</v>
      </c>
      <c r="D898">
        <v>121.9723</v>
      </c>
      <c r="E898">
        <v>2812.05</v>
      </c>
      <c r="F898">
        <v>756.23</v>
      </c>
      <c r="G898">
        <v>78.924000000000007</v>
      </c>
      <c r="H898">
        <v>90.117199999999997</v>
      </c>
      <c r="I898" s="3">
        <v>2.5</v>
      </c>
      <c r="J898" s="3">
        <v>2.4820000000000002</v>
      </c>
      <c r="K898" s="3">
        <v>4.29</v>
      </c>
      <c r="L898" s="3">
        <v>2.4940000000000002</v>
      </c>
    </row>
    <row r="899" spans="1:12" x14ac:dyDescent="0.3">
      <c r="A899" s="2">
        <v>45814</v>
      </c>
      <c r="B899" s="1">
        <v>6000.36</v>
      </c>
      <c r="C899" s="1">
        <v>19529.95</v>
      </c>
      <c r="D899">
        <v>122.9105</v>
      </c>
      <c r="E899">
        <v>2812.05</v>
      </c>
      <c r="F899">
        <v>756.23</v>
      </c>
      <c r="G899">
        <v>78.789900000000003</v>
      </c>
      <c r="H899">
        <v>89.400099999999995</v>
      </c>
      <c r="I899" s="3">
        <v>2.5</v>
      </c>
      <c r="J899" s="3">
        <v>2.4820000000000002</v>
      </c>
      <c r="K899" s="3">
        <v>4.29</v>
      </c>
      <c r="L899" s="3">
        <v>2.5</v>
      </c>
    </row>
    <row r="900" spans="1:12" x14ac:dyDescent="0.3">
      <c r="A900" s="2">
        <v>45817</v>
      </c>
      <c r="B900" s="1">
        <v>6005.88</v>
      </c>
      <c r="C900" s="1">
        <v>19591.240000000002</v>
      </c>
      <c r="D900">
        <v>123.0669</v>
      </c>
      <c r="E900">
        <v>2855.77</v>
      </c>
      <c r="F900">
        <v>764.21</v>
      </c>
      <c r="G900">
        <v>78.847399999999993</v>
      </c>
      <c r="H900">
        <v>89.562700000000007</v>
      </c>
      <c r="I900" s="3">
        <v>2.5</v>
      </c>
      <c r="J900" s="3">
        <v>2.5619999999999998</v>
      </c>
      <c r="K900" s="3">
        <v>4.29</v>
      </c>
      <c r="L900" s="3">
        <v>2.5230000000000001</v>
      </c>
    </row>
    <row r="901" spans="1:12" x14ac:dyDescent="0.3">
      <c r="A901" s="2">
        <v>45818</v>
      </c>
      <c r="B901" s="1">
        <v>6038.81</v>
      </c>
      <c r="C901" s="1">
        <v>19714.990000000002</v>
      </c>
      <c r="D901">
        <v>123.6533</v>
      </c>
      <c r="E901">
        <v>2871.85</v>
      </c>
      <c r="F901">
        <v>771.2</v>
      </c>
      <c r="G901">
        <v>78.847399999999993</v>
      </c>
      <c r="H901">
        <v>89.715599999999995</v>
      </c>
      <c r="I901" s="3">
        <v>2.5</v>
      </c>
      <c r="J901" s="3">
        <v>2.552</v>
      </c>
      <c r="K901" s="3">
        <v>4.28</v>
      </c>
      <c r="L901" s="3">
        <v>2.4580000000000002</v>
      </c>
    </row>
    <row r="902" spans="1:12" x14ac:dyDescent="0.3">
      <c r="A902" s="2">
        <v>45819</v>
      </c>
      <c r="B902" s="1">
        <v>6022.24</v>
      </c>
      <c r="C902" s="1">
        <v>19615.88</v>
      </c>
      <c r="D902">
        <v>123.4872</v>
      </c>
      <c r="E902">
        <v>2907.04</v>
      </c>
      <c r="F902">
        <v>786.29</v>
      </c>
      <c r="G902">
        <v>78.971999999999994</v>
      </c>
      <c r="H902">
        <v>90.088499999999996</v>
      </c>
      <c r="I902" s="3">
        <v>2.5</v>
      </c>
      <c r="J902" s="3">
        <v>2.552</v>
      </c>
      <c r="K902" s="3">
        <v>4.28</v>
      </c>
      <c r="L902" s="3">
        <v>2.484</v>
      </c>
    </row>
    <row r="903" spans="1:12" x14ac:dyDescent="0.3">
      <c r="A903" s="2">
        <v>45820</v>
      </c>
      <c r="B903" s="1">
        <v>6045.26</v>
      </c>
      <c r="C903" s="1">
        <v>19662.48</v>
      </c>
      <c r="D903">
        <v>123.97580000000001</v>
      </c>
      <c r="E903">
        <v>2920.03</v>
      </c>
      <c r="F903">
        <v>789.45</v>
      </c>
      <c r="G903">
        <v>79.039100000000005</v>
      </c>
      <c r="H903">
        <v>90.480500000000006</v>
      </c>
      <c r="I903" s="3">
        <v>2.5</v>
      </c>
      <c r="J903" s="3">
        <v>2.5419999999999998</v>
      </c>
      <c r="K903" s="3">
        <v>4.28</v>
      </c>
      <c r="L903" s="3">
        <v>2.5169999999999999</v>
      </c>
    </row>
    <row r="904" spans="1:12" x14ac:dyDescent="0.3">
      <c r="A904" s="2">
        <v>45821</v>
      </c>
      <c r="B904" s="1">
        <v>5976.97</v>
      </c>
      <c r="C904" s="1">
        <v>19406.830000000002</v>
      </c>
      <c r="D904">
        <v>122.5489</v>
      </c>
      <c r="E904">
        <v>2894.62</v>
      </c>
      <c r="F904">
        <v>768.86</v>
      </c>
      <c r="G904">
        <v>78.981499999999997</v>
      </c>
      <c r="H904">
        <v>90.145899999999997</v>
      </c>
      <c r="I904" s="3">
        <v>2.5</v>
      </c>
      <c r="J904" s="3">
        <v>2.5609999999999999</v>
      </c>
      <c r="K904" s="3">
        <v>4.28</v>
      </c>
      <c r="L904" s="3">
        <v>2.5430000000000001</v>
      </c>
    </row>
    <row r="905" spans="1:12" x14ac:dyDescent="0.3">
      <c r="A905" s="2">
        <v>45824</v>
      </c>
      <c r="B905" s="1">
        <v>6033.11</v>
      </c>
      <c r="C905" s="1">
        <v>19701.21</v>
      </c>
      <c r="D905">
        <v>123.62350000000001</v>
      </c>
      <c r="E905">
        <v>2946.66</v>
      </c>
      <c r="F905">
        <v>777.26</v>
      </c>
      <c r="G905">
        <v>78.971999999999994</v>
      </c>
      <c r="H905">
        <v>89.887699999999995</v>
      </c>
      <c r="I905" s="3">
        <v>2.5</v>
      </c>
      <c r="J905" s="3">
        <v>2.5609999999999999</v>
      </c>
      <c r="K905" s="3">
        <v>4.32</v>
      </c>
      <c r="L905" s="3">
        <v>2.5430000000000001</v>
      </c>
    </row>
    <row r="906" spans="1:12" x14ac:dyDescent="0.3">
      <c r="A906" s="2">
        <v>45825</v>
      </c>
      <c r="B906" s="1">
        <v>5982.72</v>
      </c>
      <c r="C906" s="1">
        <v>19521.09</v>
      </c>
      <c r="D906">
        <v>122.37269999999999</v>
      </c>
      <c r="E906">
        <v>2950.3</v>
      </c>
      <c r="F906">
        <v>775.65</v>
      </c>
      <c r="G906">
        <v>79.010300000000001</v>
      </c>
      <c r="H906">
        <v>90.327500000000001</v>
      </c>
      <c r="I906" s="3">
        <v>2.5</v>
      </c>
      <c r="J906" s="3">
        <v>2.5430000000000001</v>
      </c>
      <c r="K906" s="3">
        <v>4.3099999999999996</v>
      </c>
      <c r="L906" s="3">
        <v>2.528</v>
      </c>
    </row>
    <row r="907" spans="1:12" x14ac:dyDescent="0.3">
      <c r="A907" s="2">
        <v>45826</v>
      </c>
      <c r="B907" s="1">
        <v>5980.87</v>
      </c>
      <c r="C907" s="1">
        <v>19546.27</v>
      </c>
      <c r="D907">
        <v>122.4121</v>
      </c>
      <c r="E907">
        <v>2972.19</v>
      </c>
      <c r="F907">
        <v>779.73</v>
      </c>
      <c r="G907">
        <v>79.048599999999993</v>
      </c>
      <c r="H907">
        <v>90.384900000000002</v>
      </c>
      <c r="I907" s="3">
        <v>2.5</v>
      </c>
      <c r="J907" s="3">
        <v>2.5499999999999998</v>
      </c>
      <c r="K907" s="3">
        <v>4.28</v>
      </c>
      <c r="L907" s="3">
        <v>2.5329999999999999</v>
      </c>
    </row>
    <row r="908" spans="1:12" x14ac:dyDescent="0.3">
      <c r="A908" s="2">
        <v>45827</v>
      </c>
      <c r="B908" s="1">
        <v>5980.87</v>
      </c>
      <c r="C908" s="1">
        <v>19546.27</v>
      </c>
      <c r="D908">
        <v>122.4121</v>
      </c>
      <c r="E908">
        <v>2977.74</v>
      </c>
      <c r="F908">
        <v>782.51</v>
      </c>
      <c r="G908">
        <v>79.048599999999993</v>
      </c>
      <c r="H908">
        <v>90.384900000000002</v>
      </c>
      <c r="I908" s="3">
        <v>2.5</v>
      </c>
      <c r="J908" s="3">
        <v>2.5230000000000001</v>
      </c>
      <c r="K908" s="3">
        <v>4.28</v>
      </c>
      <c r="L908" s="3">
        <v>2.5289999999999999</v>
      </c>
    </row>
    <row r="909" spans="1:12" x14ac:dyDescent="0.3">
      <c r="A909" s="2">
        <v>45828</v>
      </c>
      <c r="B909" s="1">
        <v>5967.84</v>
      </c>
      <c r="C909" s="1">
        <v>19447.41</v>
      </c>
      <c r="D909">
        <v>121.8704</v>
      </c>
      <c r="E909">
        <v>3021.84</v>
      </c>
      <c r="F909">
        <v>791.53</v>
      </c>
      <c r="G909">
        <v>79.106099999999998</v>
      </c>
      <c r="H909">
        <v>90.4422</v>
      </c>
      <c r="I909" s="3">
        <v>2.5</v>
      </c>
      <c r="J909" s="3">
        <v>2.552</v>
      </c>
      <c r="K909" s="3">
        <v>4.29</v>
      </c>
      <c r="L909" s="3">
        <v>2.5449999999999999</v>
      </c>
    </row>
    <row r="910" spans="1:12" x14ac:dyDescent="0.3">
      <c r="A910" s="2">
        <v>45831</v>
      </c>
      <c r="B910" s="1">
        <v>6025.17</v>
      </c>
      <c r="C910" s="1">
        <v>19630.97</v>
      </c>
      <c r="D910">
        <v>122.9637</v>
      </c>
      <c r="E910">
        <v>3014.47</v>
      </c>
      <c r="F910">
        <v>784.79</v>
      </c>
      <c r="G910">
        <v>79.211600000000004</v>
      </c>
      <c r="H910">
        <v>90.7577</v>
      </c>
      <c r="I910" s="3">
        <v>2.5</v>
      </c>
      <c r="J910" s="3">
        <v>2.5430000000000001</v>
      </c>
      <c r="K910" s="3">
        <v>4.29</v>
      </c>
      <c r="L910" s="3">
        <v>2.5299999999999998</v>
      </c>
    </row>
    <row r="911" spans="1:12" x14ac:dyDescent="0.3">
      <c r="A911" s="2">
        <v>45832</v>
      </c>
      <c r="B911" s="1">
        <v>6092.18</v>
      </c>
      <c r="C911" s="1">
        <v>19912.53</v>
      </c>
      <c r="D911">
        <v>124.5887</v>
      </c>
      <c r="E911">
        <v>3103.64</v>
      </c>
      <c r="F911">
        <v>800.93</v>
      </c>
      <c r="G911">
        <v>79.273899999999998</v>
      </c>
      <c r="H911">
        <v>91.0732</v>
      </c>
      <c r="I911" s="3">
        <v>2.5</v>
      </c>
      <c r="J911" s="3">
        <v>2.5339999999999998</v>
      </c>
      <c r="K911" s="3">
        <v>4.3</v>
      </c>
      <c r="L911" s="3">
        <v>2.528</v>
      </c>
    </row>
    <row r="912" spans="1:12" x14ac:dyDescent="0.3">
      <c r="A912" s="2">
        <v>45833</v>
      </c>
      <c r="B912" s="1">
        <v>6092.16</v>
      </c>
      <c r="C912" s="1">
        <v>19973.55</v>
      </c>
      <c r="D912">
        <v>124.5001</v>
      </c>
      <c r="E912">
        <v>3108.25</v>
      </c>
      <c r="F912">
        <v>798.21</v>
      </c>
      <c r="G912">
        <v>79.288200000000003</v>
      </c>
      <c r="H912">
        <v>91.111500000000007</v>
      </c>
      <c r="I912" s="3">
        <v>2.5</v>
      </c>
      <c r="J912" s="3">
        <v>2.5329999999999999</v>
      </c>
      <c r="K912" s="3">
        <v>4.3600000000000003</v>
      </c>
      <c r="L912" s="3">
        <v>2.5219999999999998</v>
      </c>
    </row>
    <row r="913" spans="1:12" x14ac:dyDescent="0.3">
      <c r="A913" s="2">
        <v>45834</v>
      </c>
      <c r="B913" s="1">
        <v>6141.02</v>
      </c>
      <c r="C913" s="1">
        <v>20167.91</v>
      </c>
      <c r="D913">
        <v>125.5441</v>
      </c>
      <c r="E913">
        <v>3079.56</v>
      </c>
      <c r="F913">
        <v>787.95</v>
      </c>
      <c r="G913">
        <v>79.384100000000004</v>
      </c>
      <c r="H913">
        <v>91.436499999999995</v>
      </c>
      <c r="I913" s="3">
        <v>2.5</v>
      </c>
      <c r="J913" s="3">
        <v>2.552</v>
      </c>
      <c r="K913" s="3">
        <v>4.4000000000000004</v>
      </c>
      <c r="L913" s="3">
        <v>2.4940000000000002</v>
      </c>
    </row>
    <row r="914" spans="1:12" x14ac:dyDescent="0.3">
      <c r="A914" s="2">
        <v>45835</v>
      </c>
      <c r="B914" s="1">
        <v>6173.07</v>
      </c>
      <c r="C914" s="1">
        <v>20273.46</v>
      </c>
      <c r="D914">
        <v>126.10550000000001</v>
      </c>
      <c r="E914">
        <v>3055.94</v>
      </c>
      <c r="F914">
        <v>781.56</v>
      </c>
      <c r="G914">
        <v>79.3553</v>
      </c>
      <c r="H914">
        <v>91.197500000000005</v>
      </c>
      <c r="I914" s="3">
        <v>2.5</v>
      </c>
      <c r="J914" s="3">
        <v>2.5329999999999999</v>
      </c>
      <c r="K914" s="3">
        <v>4.3899999999999997</v>
      </c>
      <c r="L914" s="3">
        <v>2.4660000000000002</v>
      </c>
    </row>
    <row r="915" spans="1:12" x14ac:dyDescent="0.3">
      <c r="A915" s="2">
        <v>45838</v>
      </c>
      <c r="B915" s="1">
        <v>6204.95</v>
      </c>
      <c r="C915" s="1">
        <v>20369.73</v>
      </c>
      <c r="D915">
        <v>126.657</v>
      </c>
      <c r="E915">
        <v>3071.7</v>
      </c>
      <c r="F915">
        <v>781.5</v>
      </c>
      <c r="G915">
        <v>79.412800000000004</v>
      </c>
      <c r="H915">
        <v>91.5608</v>
      </c>
      <c r="I915" s="3">
        <v>2.5</v>
      </c>
      <c r="J915" s="3">
        <v>2.581</v>
      </c>
      <c r="K915" s="3">
        <v>4.45</v>
      </c>
      <c r="L915" s="3">
        <v>2.5659999999999998</v>
      </c>
    </row>
    <row r="916" spans="1:12" x14ac:dyDescent="0.3">
      <c r="A916" s="2">
        <v>45839</v>
      </c>
      <c r="B916" s="1">
        <v>6198.01</v>
      </c>
      <c r="C916" s="1">
        <v>20202.89</v>
      </c>
      <c r="D916">
        <v>126.5881</v>
      </c>
      <c r="E916">
        <v>3089.65</v>
      </c>
      <c r="F916">
        <v>783.67</v>
      </c>
      <c r="G916">
        <v>79.330200000000005</v>
      </c>
      <c r="H916">
        <v>91.391199999999998</v>
      </c>
      <c r="I916" s="3">
        <v>2.5</v>
      </c>
      <c r="J916" s="3">
        <v>2.524</v>
      </c>
      <c r="K916" s="3">
        <v>4.4400000000000004</v>
      </c>
      <c r="L916" s="3">
        <v>2.4990000000000001</v>
      </c>
    </row>
    <row r="917" spans="1:12" x14ac:dyDescent="0.3">
      <c r="A917" s="2">
        <v>45840</v>
      </c>
      <c r="B917" s="1">
        <v>6227.42</v>
      </c>
      <c r="C917" s="1">
        <v>20393.13</v>
      </c>
      <c r="D917">
        <v>127.1002</v>
      </c>
      <c r="E917">
        <v>3075.06</v>
      </c>
      <c r="F917">
        <v>782.17</v>
      </c>
      <c r="G917">
        <v>79.320599999999999</v>
      </c>
      <c r="H917">
        <v>91.199399999999997</v>
      </c>
      <c r="I917" s="3">
        <v>2.5</v>
      </c>
      <c r="J917" s="3">
        <v>2.5190000000000001</v>
      </c>
      <c r="K917" s="3">
        <v>4.4000000000000004</v>
      </c>
      <c r="L917" s="3">
        <v>2.484</v>
      </c>
    </row>
    <row r="918" spans="1:12" x14ac:dyDescent="0.3">
      <c r="A918" s="2">
        <v>45841</v>
      </c>
      <c r="B918" s="1">
        <v>6279.35</v>
      </c>
      <c r="C918" s="1">
        <v>20601.099999999999</v>
      </c>
      <c r="D918">
        <v>127.82899999999999</v>
      </c>
      <c r="E918">
        <v>3116.27</v>
      </c>
      <c r="F918">
        <v>793.33</v>
      </c>
      <c r="G918">
        <v>79.234099999999998</v>
      </c>
      <c r="H918">
        <v>90.882900000000006</v>
      </c>
      <c r="I918" s="3">
        <v>2.5</v>
      </c>
      <c r="J918" s="3">
        <v>2.484</v>
      </c>
      <c r="K918" s="3">
        <v>4.3499999999999996</v>
      </c>
      <c r="L918" s="3">
        <v>2.496</v>
      </c>
    </row>
    <row r="919" spans="1:12" x14ac:dyDescent="0.3">
      <c r="A919" s="2">
        <v>45842</v>
      </c>
      <c r="B919" s="1">
        <v>6279.35</v>
      </c>
      <c r="C919" s="1">
        <v>20601.099999999999</v>
      </c>
      <c r="D919">
        <v>127.82899999999999</v>
      </c>
      <c r="E919">
        <v>3054.28</v>
      </c>
      <c r="F919">
        <v>775.8</v>
      </c>
      <c r="G919">
        <v>79.234099999999998</v>
      </c>
      <c r="H919">
        <v>90.882900000000006</v>
      </c>
      <c r="I919" s="3">
        <v>2.5</v>
      </c>
      <c r="J919" s="3">
        <v>2.4950000000000001</v>
      </c>
      <c r="K919" s="3">
        <v>4.3499999999999996</v>
      </c>
      <c r="L919" s="3">
        <v>2.496</v>
      </c>
    </row>
    <row r="920" spans="1:12" x14ac:dyDescent="0.3">
      <c r="A920" s="2">
        <v>45845</v>
      </c>
      <c r="B920" s="1">
        <v>6229.98</v>
      </c>
      <c r="C920" s="1">
        <v>20412.52</v>
      </c>
      <c r="D920">
        <v>126.7161</v>
      </c>
      <c r="E920">
        <v>3059.47</v>
      </c>
      <c r="F920">
        <v>778.46</v>
      </c>
      <c r="G920">
        <v>79.214799999999997</v>
      </c>
      <c r="H920">
        <v>90.595200000000006</v>
      </c>
      <c r="I920" s="3">
        <v>2.5</v>
      </c>
      <c r="J920" s="3">
        <v>2.4940000000000002</v>
      </c>
      <c r="K920" s="3">
        <v>4.33</v>
      </c>
      <c r="L920" s="3">
        <v>2.5</v>
      </c>
    </row>
    <row r="921" spans="1:12" x14ac:dyDescent="0.3">
      <c r="A921" s="2">
        <v>45846</v>
      </c>
      <c r="B921" s="1">
        <v>6225.52</v>
      </c>
      <c r="C921" s="1">
        <v>20418.46</v>
      </c>
      <c r="D921">
        <v>126.9328</v>
      </c>
      <c r="E921">
        <v>3114.95</v>
      </c>
      <c r="F921">
        <v>784.24</v>
      </c>
      <c r="G921">
        <v>79.224500000000006</v>
      </c>
      <c r="H921">
        <v>90.460899999999995</v>
      </c>
      <c r="I921" s="3">
        <v>2.5</v>
      </c>
      <c r="J921" s="3">
        <v>2.5030000000000001</v>
      </c>
      <c r="K921" s="3">
        <v>4.34</v>
      </c>
      <c r="L921" s="3">
        <v>2.4079999999999999</v>
      </c>
    </row>
    <row r="922" spans="1:12" x14ac:dyDescent="0.3">
      <c r="A922" s="2">
        <v>45847</v>
      </c>
      <c r="B922" s="1">
        <v>6263.26</v>
      </c>
      <c r="C922" s="1">
        <v>20611.34</v>
      </c>
      <c r="D922">
        <v>127.62220000000001</v>
      </c>
      <c r="E922">
        <v>3133.74</v>
      </c>
      <c r="F922">
        <v>790.36</v>
      </c>
      <c r="G922">
        <v>79.291799999999995</v>
      </c>
      <c r="H922">
        <v>90.930899999999994</v>
      </c>
      <c r="I922" s="3">
        <v>2.5</v>
      </c>
      <c r="J922" s="3">
        <v>2.5030000000000001</v>
      </c>
      <c r="K922" s="3">
        <v>4.32</v>
      </c>
      <c r="L922" s="3">
        <v>2.4470000000000001</v>
      </c>
    </row>
    <row r="923" spans="1:12" x14ac:dyDescent="0.3">
      <c r="A923" s="2">
        <v>45848</v>
      </c>
      <c r="B923" s="1">
        <v>6280.46</v>
      </c>
      <c r="C923" s="1">
        <v>20630.66</v>
      </c>
      <c r="D923">
        <v>127.88809999999999</v>
      </c>
      <c r="E923">
        <v>3183.23</v>
      </c>
      <c r="F923">
        <v>797.7</v>
      </c>
      <c r="G923">
        <v>79.291799999999995</v>
      </c>
      <c r="H923">
        <v>90.882900000000006</v>
      </c>
      <c r="I923" s="3">
        <v>2.5</v>
      </c>
      <c r="J923" s="3">
        <v>2.5329999999999999</v>
      </c>
      <c r="K923" s="3">
        <v>4.3099999999999996</v>
      </c>
      <c r="L923" s="3">
        <v>2.5289999999999999</v>
      </c>
    </row>
    <row r="924" spans="1:12" x14ac:dyDescent="0.3">
      <c r="A924" s="2">
        <v>45849</v>
      </c>
      <c r="B924" s="1">
        <v>6259.75</v>
      </c>
      <c r="C924" s="1">
        <v>20585.53</v>
      </c>
      <c r="D924">
        <v>127.2479</v>
      </c>
      <c r="E924">
        <v>3175.77</v>
      </c>
      <c r="F924">
        <v>800.47</v>
      </c>
      <c r="G924">
        <v>79.272499999999994</v>
      </c>
      <c r="H924">
        <v>90.460899999999995</v>
      </c>
      <c r="I924" s="3">
        <v>2.5</v>
      </c>
      <c r="J924" s="3">
        <v>2.5030000000000001</v>
      </c>
      <c r="K924" s="3">
        <v>4.3099999999999996</v>
      </c>
      <c r="L924" s="3">
        <v>2.5089999999999999</v>
      </c>
    </row>
    <row r="925" spans="1:12" x14ac:dyDescent="0.3">
      <c r="A925" s="2">
        <v>45852</v>
      </c>
      <c r="B925" s="1">
        <v>6268.56</v>
      </c>
      <c r="C925" s="1">
        <v>20640.330000000002</v>
      </c>
      <c r="D925">
        <v>127.4252</v>
      </c>
      <c r="E925">
        <v>3202.03</v>
      </c>
      <c r="F925">
        <v>799.37</v>
      </c>
      <c r="G925">
        <v>79.2821</v>
      </c>
      <c r="H925">
        <v>90.422600000000003</v>
      </c>
      <c r="I925" s="3">
        <v>2.5</v>
      </c>
      <c r="J925" s="3">
        <v>2.5230000000000001</v>
      </c>
      <c r="K925" s="3">
        <v>4.33</v>
      </c>
      <c r="L925" s="3">
        <v>2.5099999999999998</v>
      </c>
    </row>
    <row r="926" spans="1:12" x14ac:dyDescent="0.3">
      <c r="A926" s="2">
        <v>45853</v>
      </c>
      <c r="B926" s="1">
        <v>6243.76</v>
      </c>
      <c r="C926" s="1">
        <v>20677.8</v>
      </c>
      <c r="D926">
        <v>126.8934</v>
      </c>
      <c r="E926">
        <v>3215.28</v>
      </c>
      <c r="F926">
        <v>812.88</v>
      </c>
      <c r="G926">
        <v>79.200400000000002</v>
      </c>
      <c r="H926">
        <v>90.067700000000002</v>
      </c>
      <c r="I926" s="3">
        <v>2.5</v>
      </c>
      <c r="J926" s="3">
        <v>2.492</v>
      </c>
      <c r="K926" s="3">
        <v>4.37</v>
      </c>
      <c r="L926" s="3">
        <v>2.4780000000000002</v>
      </c>
    </row>
    <row r="927" spans="1:12" x14ac:dyDescent="0.3">
      <c r="A927" s="2">
        <v>45854</v>
      </c>
      <c r="B927" s="1">
        <v>6263.7</v>
      </c>
      <c r="C927" s="1">
        <v>20730.490000000002</v>
      </c>
      <c r="D927">
        <v>127.3858</v>
      </c>
      <c r="E927">
        <v>3186.38</v>
      </c>
      <c r="F927">
        <v>812.23</v>
      </c>
      <c r="G927">
        <v>79.311000000000007</v>
      </c>
      <c r="H927">
        <v>90.317099999999996</v>
      </c>
      <c r="I927" s="3">
        <v>2.5</v>
      </c>
      <c r="J927" s="3">
        <v>2.4630000000000001</v>
      </c>
      <c r="K927" s="3">
        <v>4.34</v>
      </c>
      <c r="L927" s="3">
        <v>2.5019999999999998</v>
      </c>
    </row>
    <row r="928" spans="1:12" x14ac:dyDescent="0.3">
      <c r="A928" s="2">
        <v>45855</v>
      </c>
      <c r="B928" s="1">
        <v>6297.36</v>
      </c>
      <c r="C928" s="1">
        <v>20885.650000000001</v>
      </c>
      <c r="D928">
        <v>127.898</v>
      </c>
      <c r="E928">
        <v>3192.29</v>
      </c>
      <c r="F928">
        <v>818.27</v>
      </c>
      <c r="G928">
        <v>79.2821</v>
      </c>
      <c r="H928">
        <v>90.288300000000007</v>
      </c>
      <c r="I928" s="3">
        <v>2.5</v>
      </c>
      <c r="J928" s="3">
        <v>2.4649999999999999</v>
      </c>
      <c r="K928" s="3">
        <v>4.34</v>
      </c>
      <c r="L928" s="3">
        <v>2.5</v>
      </c>
    </row>
    <row r="929" spans="1:12" x14ac:dyDescent="0.3">
      <c r="A929" s="2">
        <v>45856</v>
      </c>
      <c r="B929" s="1">
        <v>6296.79</v>
      </c>
      <c r="C929" s="1">
        <v>20895.66</v>
      </c>
      <c r="D929">
        <v>127.79949999999999</v>
      </c>
      <c r="E929">
        <v>3188.07</v>
      </c>
      <c r="F929">
        <v>820.67</v>
      </c>
      <c r="G929">
        <v>79.349400000000003</v>
      </c>
      <c r="H929">
        <v>90.537700000000001</v>
      </c>
      <c r="I929" s="3">
        <v>2.5</v>
      </c>
      <c r="J929" s="3">
        <v>2.4849999999999999</v>
      </c>
      <c r="K929" s="3">
        <v>4.3</v>
      </c>
      <c r="L929" s="3">
        <v>2.5099999999999998</v>
      </c>
    </row>
    <row r="930" spans="1:12" x14ac:dyDescent="0.3">
      <c r="A930" s="2">
        <v>45859</v>
      </c>
      <c r="B930" s="1">
        <v>6305.6</v>
      </c>
      <c r="C930" s="1">
        <v>20974.17</v>
      </c>
      <c r="D930">
        <v>128.16390000000001</v>
      </c>
      <c r="E930">
        <v>3210.81</v>
      </c>
      <c r="F930">
        <v>821.69</v>
      </c>
      <c r="G930">
        <v>79.397499999999994</v>
      </c>
      <c r="H930">
        <v>90.854200000000006</v>
      </c>
      <c r="I930" s="3">
        <v>2.5</v>
      </c>
      <c r="J930" s="3">
        <v>2.4830000000000001</v>
      </c>
      <c r="K930" s="3">
        <v>4.28</v>
      </c>
      <c r="L930" s="3">
        <v>2.4910000000000001</v>
      </c>
    </row>
    <row r="931" spans="1:12" x14ac:dyDescent="0.3">
      <c r="A931" s="2">
        <v>45860</v>
      </c>
      <c r="B931" s="1">
        <v>6309.62</v>
      </c>
      <c r="C931" s="1">
        <v>20892.689999999999</v>
      </c>
      <c r="D931">
        <v>128.38059999999999</v>
      </c>
      <c r="E931">
        <v>3169.94</v>
      </c>
      <c r="F931">
        <v>812.97</v>
      </c>
      <c r="G931">
        <v>79.455200000000005</v>
      </c>
      <c r="H931">
        <v>91.113100000000003</v>
      </c>
      <c r="I931" s="3">
        <v>2.5</v>
      </c>
      <c r="J931" s="3">
        <v>2.4740000000000002</v>
      </c>
      <c r="K931" s="3">
        <v>4.28</v>
      </c>
      <c r="L931" s="3">
        <v>2.504</v>
      </c>
    </row>
    <row r="932" spans="1:12" x14ac:dyDescent="0.3">
      <c r="A932" s="2">
        <v>45861</v>
      </c>
      <c r="B932" s="1">
        <v>6358.91</v>
      </c>
      <c r="C932" s="1">
        <v>21020.02</v>
      </c>
      <c r="D932">
        <v>129.90719999999999</v>
      </c>
      <c r="E932">
        <v>3183.77</v>
      </c>
      <c r="F932">
        <v>813.56</v>
      </c>
      <c r="G932">
        <v>79.387900000000002</v>
      </c>
      <c r="H932">
        <v>90.787000000000006</v>
      </c>
      <c r="I932" s="3">
        <v>2.5</v>
      </c>
      <c r="J932" s="3">
        <v>2.4849999999999999</v>
      </c>
      <c r="K932" s="3">
        <v>4.28</v>
      </c>
      <c r="L932" s="3">
        <v>2.5019999999999998</v>
      </c>
    </row>
    <row r="933" spans="1:12" x14ac:dyDescent="0.3">
      <c r="A933" s="2">
        <v>45862</v>
      </c>
      <c r="B933" s="1">
        <v>6363.35</v>
      </c>
      <c r="C933" s="1">
        <v>21057.96</v>
      </c>
      <c r="D933">
        <v>129.6412</v>
      </c>
      <c r="E933">
        <v>3190.45</v>
      </c>
      <c r="F933">
        <v>809.89</v>
      </c>
      <c r="G933">
        <v>79.320599999999999</v>
      </c>
      <c r="H933">
        <v>90.652699999999996</v>
      </c>
      <c r="I933" s="3">
        <v>2.5</v>
      </c>
      <c r="J933" s="3">
        <v>2.4649999999999999</v>
      </c>
      <c r="K933" s="3">
        <v>4.3</v>
      </c>
      <c r="L933" s="3">
        <v>2.508</v>
      </c>
    </row>
    <row r="934" spans="1:12" x14ac:dyDescent="0.3">
      <c r="A934" s="2">
        <v>45863</v>
      </c>
      <c r="B934" s="1">
        <v>6388.64</v>
      </c>
      <c r="C934" s="1">
        <v>21108.32</v>
      </c>
      <c r="D934">
        <v>129.88749999999999</v>
      </c>
      <c r="E934">
        <v>3196.05</v>
      </c>
      <c r="F934">
        <v>806.95</v>
      </c>
      <c r="G934">
        <v>79.368700000000004</v>
      </c>
      <c r="H934">
        <v>90.863699999999994</v>
      </c>
      <c r="I934" s="3">
        <v>2.5</v>
      </c>
      <c r="J934" s="3">
        <v>2.496</v>
      </c>
      <c r="K934" s="3">
        <v>4.3600000000000003</v>
      </c>
      <c r="L934" s="3">
        <v>2.5150000000000001</v>
      </c>
    </row>
    <row r="935" spans="1:12" x14ac:dyDescent="0.3">
      <c r="A935" s="2">
        <v>45866</v>
      </c>
      <c r="B935" s="1">
        <v>6389.77</v>
      </c>
      <c r="C935" s="1">
        <v>21178.58</v>
      </c>
      <c r="D935">
        <v>129.3064</v>
      </c>
      <c r="E935">
        <v>3209.52</v>
      </c>
      <c r="F935">
        <v>804.4</v>
      </c>
      <c r="G935">
        <v>79.354200000000006</v>
      </c>
      <c r="H935">
        <v>90.662300000000002</v>
      </c>
      <c r="I935" s="3">
        <v>2.5</v>
      </c>
      <c r="J935" s="3">
        <v>2.4929999999999999</v>
      </c>
      <c r="K935" s="3">
        <v>4.3600000000000003</v>
      </c>
      <c r="L935" s="3">
        <v>2.5059999999999998</v>
      </c>
    </row>
    <row r="936" spans="1:12" x14ac:dyDescent="0.3">
      <c r="A936" s="2">
        <v>45867</v>
      </c>
      <c r="B936" s="1">
        <v>6370.86</v>
      </c>
      <c r="C936" s="1">
        <v>21098.29</v>
      </c>
      <c r="D936">
        <v>129.07</v>
      </c>
      <c r="E936">
        <v>3230.57</v>
      </c>
      <c r="F936">
        <v>804.45</v>
      </c>
      <c r="G936">
        <v>79.426400000000001</v>
      </c>
      <c r="H936">
        <v>91.257000000000005</v>
      </c>
      <c r="I936" s="3">
        <v>2.5</v>
      </c>
      <c r="J936" s="3">
        <v>2.4929999999999999</v>
      </c>
      <c r="K936" s="3">
        <v>4.3600000000000003</v>
      </c>
      <c r="L936" s="3">
        <v>2.5</v>
      </c>
    </row>
    <row r="937" spans="1:12" x14ac:dyDescent="0.3">
      <c r="A937" s="2">
        <v>45868</v>
      </c>
      <c r="B937" s="1">
        <v>6362.9</v>
      </c>
      <c r="C937" s="1">
        <v>21129.67</v>
      </c>
      <c r="D937">
        <v>128.63659999999999</v>
      </c>
      <c r="E937">
        <v>3254.47</v>
      </c>
      <c r="F937">
        <v>803.67</v>
      </c>
      <c r="G937">
        <v>79.339799999999997</v>
      </c>
      <c r="H937">
        <v>90.9405</v>
      </c>
      <c r="I937" s="3">
        <v>2.5</v>
      </c>
      <c r="J937" s="3">
        <v>2.496</v>
      </c>
      <c r="K937" s="3">
        <v>4.32</v>
      </c>
      <c r="L937" s="3">
        <v>2.5179999999999998</v>
      </c>
    </row>
    <row r="938" spans="1:12" x14ac:dyDescent="0.3">
      <c r="A938" s="2">
        <v>45869</v>
      </c>
      <c r="B938" s="1">
        <v>6339.39</v>
      </c>
      <c r="C938" s="1">
        <v>21122.45</v>
      </c>
      <c r="D938">
        <v>127.9965</v>
      </c>
      <c r="E938">
        <v>3245.44</v>
      </c>
      <c r="F938">
        <v>805.24</v>
      </c>
      <c r="G938">
        <v>79.339799999999997</v>
      </c>
      <c r="H938">
        <v>91.017200000000003</v>
      </c>
      <c r="I938" s="3">
        <v>2.5</v>
      </c>
      <c r="J938" s="3">
        <v>2.5329999999999999</v>
      </c>
      <c r="K938" s="3">
        <v>4.3899999999999997</v>
      </c>
      <c r="L938" s="3">
        <v>2.5139999999999998</v>
      </c>
    </row>
    <row r="939" spans="1:12" x14ac:dyDescent="0.3">
      <c r="A939" s="2">
        <v>45870</v>
      </c>
      <c r="B939" s="1">
        <v>6238.01</v>
      </c>
      <c r="C939" s="1">
        <v>20650.13</v>
      </c>
      <c r="D939">
        <v>126.38120000000001</v>
      </c>
      <c r="E939">
        <v>3119.41</v>
      </c>
      <c r="F939">
        <v>772.79</v>
      </c>
      <c r="G939">
        <v>79.735200000000006</v>
      </c>
      <c r="H939">
        <v>92.064899999999994</v>
      </c>
      <c r="I939" s="3">
        <v>2.5</v>
      </c>
      <c r="J939" s="3">
        <v>2.4750000000000001</v>
      </c>
      <c r="K939" s="3">
        <v>4.34</v>
      </c>
      <c r="L939" s="3">
        <v>2.4910000000000001</v>
      </c>
    </row>
    <row r="940" spans="1:12" x14ac:dyDescent="0.3">
      <c r="A940" s="2">
        <v>45873</v>
      </c>
      <c r="B940" s="1">
        <v>6329.94</v>
      </c>
      <c r="C940" s="1">
        <v>21053.58</v>
      </c>
      <c r="D940">
        <v>128.20330000000001</v>
      </c>
      <c r="E940">
        <v>3147.75</v>
      </c>
      <c r="F940">
        <v>784.06</v>
      </c>
      <c r="G940">
        <v>79.754499999999993</v>
      </c>
      <c r="H940">
        <v>92.19</v>
      </c>
      <c r="I940" s="3">
        <v>2.5</v>
      </c>
      <c r="J940" s="3">
        <v>2.4849999999999999</v>
      </c>
      <c r="K940" s="3">
        <v>4.33</v>
      </c>
      <c r="L940" s="3">
        <v>2.5070000000000001</v>
      </c>
    </row>
    <row r="941" spans="1:12" x14ac:dyDescent="0.3">
      <c r="A941" s="2">
        <v>45874</v>
      </c>
      <c r="B941" s="1">
        <v>6299.19</v>
      </c>
      <c r="C941" s="1">
        <v>20916.55</v>
      </c>
      <c r="D941">
        <v>127.84869999999999</v>
      </c>
      <c r="E941">
        <v>3198</v>
      </c>
      <c r="F941">
        <v>798.6</v>
      </c>
      <c r="G941">
        <v>79.725499999999997</v>
      </c>
      <c r="H941">
        <v>92.122600000000006</v>
      </c>
      <c r="I941" s="3">
        <v>2.5</v>
      </c>
      <c r="J941" s="3">
        <v>2.528</v>
      </c>
      <c r="K941" s="3">
        <v>4.34</v>
      </c>
      <c r="L941" s="3">
        <v>2.504</v>
      </c>
    </row>
    <row r="942" spans="1:12" x14ac:dyDescent="0.3">
      <c r="A942" s="2">
        <v>45875</v>
      </c>
      <c r="B942" s="1">
        <v>6345.06</v>
      </c>
      <c r="C942" s="1">
        <v>21169.42</v>
      </c>
      <c r="D942">
        <v>128.80410000000001</v>
      </c>
      <c r="E942">
        <v>3198.14</v>
      </c>
      <c r="F942">
        <v>803.49</v>
      </c>
      <c r="G942">
        <v>79.754499999999993</v>
      </c>
      <c r="H942">
        <v>92.055199999999999</v>
      </c>
      <c r="I942" s="3">
        <v>2.5</v>
      </c>
      <c r="J942" s="3">
        <v>2.5289999999999999</v>
      </c>
      <c r="K942" s="3">
        <v>4.34</v>
      </c>
      <c r="L942" s="3">
        <v>2.4929999999999999</v>
      </c>
    </row>
    <row r="943" spans="1:12" x14ac:dyDescent="0.3">
      <c r="A943" s="2">
        <v>45876</v>
      </c>
      <c r="B943" s="1">
        <v>6340</v>
      </c>
      <c r="C943" s="1">
        <v>21242.7</v>
      </c>
      <c r="D943">
        <v>129.10939999999999</v>
      </c>
      <c r="E943">
        <v>3227.68</v>
      </c>
      <c r="F943">
        <v>805.81</v>
      </c>
      <c r="G943">
        <v>79.715900000000005</v>
      </c>
      <c r="H943">
        <v>91.987899999999996</v>
      </c>
      <c r="I943" s="3">
        <v>2.5</v>
      </c>
      <c r="J943" s="3">
        <v>2.4740000000000002</v>
      </c>
      <c r="K943" s="3">
        <v>4.3499999999999996</v>
      </c>
      <c r="L943" s="3">
        <v>2.5089999999999999</v>
      </c>
    </row>
    <row r="944" spans="1:12" x14ac:dyDescent="0.3">
      <c r="A944" s="2">
        <v>45877</v>
      </c>
      <c r="B944" s="1">
        <v>6389.45</v>
      </c>
      <c r="C944" s="1">
        <v>21450.02</v>
      </c>
      <c r="D944">
        <v>129.86779999999999</v>
      </c>
      <c r="E944">
        <v>3210.01</v>
      </c>
      <c r="F944">
        <v>809.27</v>
      </c>
      <c r="G944">
        <v>79.696600000000004</v>
      </c>
      <c r="H944">
        <v>91.776200000000003</v>
      </c>
      <c r="I944" s="3">
        <v>2.5</v>
      </c>
      <c r="J944" s="3">
        <v>2.5339999999999998</v>
      </c>
      <c r="K944" s="3">
        <v>4.3499999999999996</v>
      </c>
      <c r="L944" s="3">
        <v>2.532</v>
      </c>
    </row>
    <row r="945" spans="1:12" x14ac:dyDescent="0.3">
      <c r="A945" s="2">
        <v>45880</v>
      </c>
      <c r="B945" s="1">
        <v>6373.45</v>
      </c>
      <c r="C945" s="1">
        <v>21385.4</v>
      </c>
      <c r="D945">
        <v>129.523</v>
      </c>
      <c r="E945">
        <v>3206.77</v>
      </c>
      <c r="F945">
        <v>811.85</v>
      </c>
      <c r="G945">
        <v>79.696600000000004</v>
      </c>
      <c r="H945">
        <v>91.805099999999996</v>
      </c>
      <c r="I945" s="3">
        <v>2.5</v>
      </c>
      <c r="J945" s="3">
        <v>2.5139999999999998</v>
      </c>
      <c r="K945" s="3">
        <v>4.34</v>
      </c>
      <c r="L945" s="3">
        <v>2.5190000000000001</v>
      </c>
    </row>
    <row r="946" spans="1:12" x14ac:dyDescent="0.3">
      <c r="A946" s="2">
        <v>45881</v>
      </c>
      <c r="B946" s="1">
        <v>6445.76</v>
      </c>
      <c r="C946" s="1">
        <v>21681.9</v>
      </c>
      <c r="D946">
        <v>130.94130000000001</v>
      </c>
      <c r="E946">
        <v>3189.91</v>
      </c>
      <c r="F946">
        <v>807.19</v>
      </c>
      <c r="G946">
        <v>79.754499999999993</v>
      </c>
      <c r="H946">
        <v>91.785799999999995</v>
      </c>
      <c r="I946" s="3">
        <v>2.5</v>
      </c>
      <c r="J946" s="3">
        <v>2.524</v>
      </c>
      <c r="K946" s="3">
        <v>4.3600000000000003</v>
      </c>
      <c r="L946" s="3">
        <v>2.5230000000000001</v>
      </c>
    </row>
    <row r="947" spans="1:12" x14ac:dyDescent="0.3">
      <c r="A947" s="2">
        <v>45882</v>
      </c>
      <c r="B947" s="1">
        <v>6466.58</v>
      </c>
      <c r="C947" s="1">
        <v>21713.14</v>
      </c>
      <c r="D947">
        <v>131.5421</v>
      </c>
      <c r="E947">
        <v>3224.37</v>
      </c>
      <c r="F947">
        <v>814.1</v>
      </c>
      <c r="G947">
        <v>79.860600000000005</v>
      </c>
      <c r="H947">
        <v>92.113</v>
      </c>
      <c r="I947" s="3">
        <v>2.5</v>
      </c>
      <c r="J947" s="3">
        <v>2.5129999999999999</v>
      </c>
      <c r="K947" s="3">
        <v>4.33</v>
      </c>
      <c r="L947" s="3">
        <v>2.512</v>
      </c>
    </row>
    <row r="948" spans="1:12" x14ac:dyDescent="0.3">
      <c r="A948" s="2">
        <v>45883</v>
      </c>
      <c r="B948" s="1">
        <v>6468.54</v>
      </c>
      <c r="C948" s="1">
        <v>21710.67</v>
      </c>
      <c r="D948">
        <v>131.33519999999999</v>
      </c>
      <c r="E948">
        <v>3225.66</v>
      </c>
      <c r="F948">
        <v>815.26</v>
      </c>
      <c r="G948">
        <v>79.773700000000005</v>
      </c>
      <c r="H948">
        <v>91.814700000000002</v>
      </c>
      <c r="I948" s="3">
        <v>2.5</v>
      </c>
      <c r="J948" s="3">
        <v>2.504</v>
      </c>
      <c r="K948" s="3">
        <v>4.34</v>
      </c>
      <c r="L948" s="3">
        <v>2.516</v>
      </c>
    </row>
    <row r="949" spans="1:12" x14ac:dyDescent="0.3">
      <c r="A949" s="2">
        <v>45884</v>
      </c>
      <c r="B949" s="1">
        <v>6449.8</v>
      </c>
      <c r="C949" s="1">
        <v>21622.98</v>
      </c>
      <c r="D949">
        <v>131.3648</v>
      </c>
      <c r="E949">
        <v>3225.66</v>
      </c>
      <c r="F949">
        <v>815.26</v>
      </c>
      <c r="G949">
        <v>79.744799999999998</v>
      </c>
      <c r="H949">
        <v>91.631900000000002</v>
      </c>
      <c r="I949" s="3">
        <v>2.5</v>
      </c>
      <c r="J949" s="3">
        <v>2.504</v>
      </c>
      <c r="K949" s="3">
        <v>4.3600000000000003</v>
      </c>
      <c r="L949" s="3">
        <v>2.5</v>
      </c>
    </row>
    <row r="950" spans="1:12" x14ac:dyDescent="0.3">
      <c r="A950" s="2">
        <v>45887</v>
      </c>
      <c r="B950" s="1">
        <v>6449.15</v>
      </c>
      <c r="C950" s="1">
        <v>21629.77</v>
      </c>
      <c r="D950">
        <v>131.39429999999999</v>
      </c>
      <c r="E950">
        <v>3177.28</v>
      </c>
      <c r="F950">
        <v>798.05</v>
      </c>
      <c r="G950">
        <v>79.744799999999998</v>
      </c>
      <c r="H950">
        <v>91.545299999999997</v>
      </c>
      <c r="I950" s="3">
        <v>2.5</v>
      </c>
      <c r="J950" s="3">
        <v>2.492</v>
      </c>
      <c r="K950" s="3">
        <v>4.34</v>
      </c>
      <c r="L950" s="3">
        <v>2.4980000000000002</v>
      </c>
    </row>
    <row r="951" spans="1:12" x14ac:dyDescent="0.3">
      <c r="A951" s="2">
        <v>45888</v>
      </c>
      <c r="B951" s="1">
        <v>6411.37</v>
      </c>
      <c r="C951" s="1">
        <v>21314.95</v>
      </c>
      <c r="D951">
        <v>130.6951</v>
      </c>
      <c r="E951">
        <v>3151.56</v>
      </c>
      <c r="F951">
        <v>787.96</v>
      </c>
      <c r="G951">
        <v>79.7834</v>
      </c>
      <c r="H951">
        <v>91.776200000000003</v>
      </c>
      <c r="I951" s="3">
        <v>2.5</v>
      </c>
      <c r="J951" s="3">
        <v>2.4609999999999999</v>
      </c>
      <c r="K951" s="3">
        <v>4.33</v>
      </c>
      <c r="L951" s="3">
        <v>2.472</v>
      </c>
    </row>
    <row r="952" spans="1:12" x14ac:dyDescent="0.3">
      <c r="A952" s="2">
        <v>45889</v>
      </c>
      <c r="B952" s="1">
        <v>6395.78</v>
      </c>
      <c r="C952" s="1">
        <v>21172.86</v>
      </c>
      <c r="D952">
        <v>130.54730000000001</v>
      </c>
      <c r="E952">
        <v>3130.09</v>
      </c>
      <c r="F952">
        <v>777.61</v>
      </c>
      <c r="G952">
        <v>79.812299999999993</v>
      </c>
      <c r="H952">
        <v>91.910899999999998</v>
      </c>
      <c r="I952" s="3">
        <v>2.5</v>
      </c>
      <c r="J952" s="3">
        <v>2.4430000000000001</v>
      </c>
      <c r="K952" s="3">
        <v>4.3099999999999996</v>
      </c>
      <c r="L952" s="3">
        <v>2.4790000000000001</v>
      </c>
    </row>
    <row r="953" spans="1:12" x14ac:dyDescent="0.3">
      <c r="A953" s="2">
        <v>45890</v>
      </c>
      <c r="B953" s="1">
        <v>6370.17</v>
      </c>
      <c r="C953" s="1">
        <v>21100.31</v>
      </c>
      <c r="D953">
        <v>130.04499999999999</v>
      </c>
      <c r="E953">
        <v>3141.74</v>
      </c>
      <c r="F953">
        <v>777.24</v>
      </c>
      <c r="G953">
        <v>79.744799999999998</v>
      </c>
      <c r="H953">
        <v>91.641499999999994</v>
      </c>
      <c r="I953" s="3">
        <v>2.5</v>
      </c>
      <c r="J953" s="3">
        <v>2.4470000000000001</v>
      </c>
      <c r="K953" s="3">
        <v>4.32</v>
      </c>
      <c r="L953" s="3">
        <v>2.4990000000000001</v>
      </c>
    </row>
    <row r="954" spans="1:12" x14ac:dyDescent="0.3">
      <c r="A954" s="2">
        <v>45891</v>
      </c>
      <c r="B954" s="1">
        <v>6466.91</v>
      </c>
      <c r="C954" s="1">
        <v>21496.54</v>
      </c>
      <c r="D954">
        <v>132.19210000000001</v>
      </c>
      <c r="E954">
        <v>3168.73</v>
      </c>
      <c r="F954">
        <v>782.51</v>
      </c>
      <c r="G954">
        <v>79.918400000000005</v>
      </c>
      <c r="H954">
        <v>92.151499999999999</v>
      </c>
      <c r="I954" s="3">
        <v>2.5</v>
      </c>
      <c r="J954" s="3">
        <v>2.4950000000000001</v>
      </c>
      <c r="K954" s="3">
        <v>4.3600000000000003</v>
      </c>
      <c r="L954" s="3">
        <v>2.5129999999999999</v>
      </c>
    </row>
    <row r="955" spans="1:12" x14ac:dyDescent="0.3">
      <c r="A955" s="2">
        <v>45894</v>
      </c>
      <c r="B955" s="1">
        <v>6439.32</v>
      </c>
      <c r="C955" s="1">
        <v>21449.29</v>
      </c>
      <c r="D955">
        <v>131.33519999999999</v>
      </c>
      <c r="E955">
        <v>3209.86</v>
      </c>
      <c r="F955">
        <v>798.02</v>
      </c>
      <c r="G955">
        <v>79.875</v>
      </c>
      <c r="H955">
        <v>91.968599999999995</v>
      </c>
      <c r="I955" s="3">
        <v>2.5</v>
      </c>
      <c r="J955" s="3">
        <v>2.4950000000000001</v>
      </c>
      <c r="K955" s="3">
        <v>4.37</v>
      </c>
      <c r="L955" s="3">
        <v>2.5150000000000001</v>
      </c>
    </row>
    <row r="956" spans="1:12" x14ac:dyDescent="0.3">
      <c r="A956" s="2">
        <v>45895</v>
      </c>
      <c r="B956" s="1">
        <v>6465.94</v>
      </c>
      <c r="C956" s="1">
        <v>21544.27</v>
      </c>
      <c r="D956">
        <v>131.61099999999999</v>
      </c>
      <c r="E956">
        <v>3179.36</v>
      </c>
      <c r="F956">
        <v>801.66</v>
      </c>
      <c r="G956">
        <v>79.947400000000002</v>
      </c>
      <c r="H956">
        <v>92.209199999999996</v>
      </c>
      <c r="I956" s="3">
        <v>2.5</v>
      </c>
      <c r="J956" s="3">
        <v>2.504</v>
      </c>
      <c r="K956" s="3">
        <v>4.38</v>
      </c>
      <c r="L956" s="3">
        <v>2.5110000000000001</v>
      </c>
    </row>
    <row r="957" spans="1:12" x14ac:dyDescent="0.3">
      <c r="A957" s="2">
        <v>45896</v>
      </c>
      <c r="B957" s="1">
        <v>6481.4</v>
      </c>
      <c r="C957" s="1">
        <v>21590.14</v>
      </c>
      <c r="D957">
        <v>131.66030000000001</v>
      </c>
      <c r="E957">
        <v>3187.16</v>
      </c>
      <c r="F957">
        <v>801.72</v>
      </c>
      <c r="G957">
        <v>80.005300000000005</v>
      </c>
      <c r="H957">
        <v>92.382400000000004</v>
      </c>
      <c r="I957" s="3">
        <v>2.5</v>
      </c>
      <c r="J957" s="3">
        <v>2.4940000000000002</v>
      </c>
      <c r="K957" s="3">
        <v>4.3600000000000003</v>
      </c>
      <c r="L957" s="3">
        <v>2.5049999999999999</v>
      </c>
    </row>
    <row r="958" spans="1:12" x14ac:dyDescent="0.3">
      <c r="A958" s="2">
        <v>45897</v>
      </c>
      <c r="B958" s="1">
        <v>6501.86</v>
      </c>
      <c r="C958" s="1">
        <v>21705.16</v>
      </c>
      <c r="D958">
        <v>132.19210000000001</v>
      </c>
      <c r="E958">
        <v>3196.32</v>
      </c>
      <c r="F958">
        <v>798.43</v>
      </c>
      <c r="G958">
        <v>79.976299999999995</v>
      </c>
      <c r="H958">
        <v>92.594099999999997</v>
      </c>
      <c r="I958" s="3">
        <v>2.5</v>
      </c>
      <c r="J958" s="3">
        <v>2.4750000000000001</v>
      </c>
      <c r="K958" s="3">
        <v>4.34</v>
      </c>
      <c r="L958" s="3">
        <v>2.5049999999999999</v>
      </c>
    </row>
    <row r="959" spans="1:12" x14ac:dyDescent="0.3">
      <c r="A959" s="2">
        <v>45898</v>
      </c>
      <c r="B959" s="1">
        <v>6460.26</v>
      </c>
      <c r="C959" s="1">
        <v>21455.55</v>
      </c>
      <c r="D959">
        <v>131.4239</v>
      </c>
      <c r="E959">
        <v>3186.01</v>
      </c>
      <c r="F959">
        <v>796.91</v>
      </c>
      <c r="G959">
        <v>80.043800000000005</v>
      </c>
      <c r="H959">
        <v>92.517099999999999</v>
      </c>
      <c r="I959" s="3">
        <v>2.5</v>
      </c>
      <c r="J959" s="3">
        <v>2.5230000000000001</v>
      </c>
      <c r="K959" s="3">
        <v>4.34</v>
      </c>
      <c r="L959" s="3">
        <v>2.5209999999999999</v>
      </c>
    </row>
    <row r="960" spans="1:12" x14ac:dyDescent="0.3">
      <c r="A960" s="2">
        <v>45901</v>
      </c>
      <c r="B960" s="1">
        <v>6460.26</v>
      </c>
      <c r="C960" s="1">
        <v>21455.55</v>
      </c>
      <c r="D960">
        <v>131.4239</v>
      </c>
      <c r="E960">
        <v>3142.93</v>
      </c>
      <c r="F960">
        <v>785</v>
      </c>
      <c r="G960">
        <v>80.043800000000005</v>
      </c>
      <c r="H960">
        <v>92.517099999999999</v>
      </c>
      <c r="I960" s="3">
        <v>2.5</v>
      </c>
      <c r="J960" s="3">
        <v>2.4950000000000001</v>
      </c>
      <c r="K960" s="3">
        <v>4.34</v>
      </c>
      <c r="L960" s="3">
        <v>2.5179999999999998</v>
      </c>
    </row>
    <row r="961" spans="1:12" x14ac:dyDescent="0.3">
      <c r="A961" s="2">
        <v>45902</v>
      </c>
      <c r="B961" s="1">
        <v>6415.54</v>
      </c>
      <c r="C961" s="1">
        <v>21279.63</v>
      </c>
      <c r="D961">
        <v>130.49809999999999</v>
      </c>
      <c r="E961">
        <v>3172.35</v>
      </c>
      <c r="F961">
        <v>794</v>
      </c>
      <c r="G961">
        <v>80.003600000000006</v>
      </c>
      <c r="H961">
        <v>92.241100000000003</v>
      </c>
      <c r="I961" s="3">
        <v>2.5</v>
      </c>
      <c r="J961" s="3">
        <v>2.5049999999999999</v>
      </c>
      <c r="K961" s="3">
        <v>4.3899999999999997</v>
      </c>
      <c r="L961" s="3">
        <v>2.5150000000000001</v>
      </c>
    </row>
    <row r="962" spans="1:12" x14ac:dyDescent="0.3">
      <c r="A962" s="2">
        <v>45903</v>
      </c>
      <c r="B962" s="1">
        <v>6448.26</v>
      </c>
      <c r="C962" s="1">
        <v>21497.73</v>
      </c>
      <c r="D962">
        <v>131.0496</v>
      </c>
      <c r="E962">
        <v>3184.42</v>
      </c>
      <c r="F962">
        <v>796.81</v>
      </c>
      <c r="G962">
        <v>80.061599999999999</v>
      </c>
      <c r="H962">
        <v>92.559700000000007</v>
      </c>
      <c r="I962" s="3">
        <v>2.5</v>
      </c>
      <c r="J962" s="3">
        <v>2.504</v>
      </c>
      <c r="K962" s="3">
        <v>4.3899999999999997</v>
      </c>
      <c r="L962" s="3">
        <v>2.524</v>
      </c>
    </row>
    <row r="963" spans="1:12" x14ac:dyDescent="0.3">
      <c r="A963" s="2">
        <v>45904</v>
      </c>
      <c r="B963" s="1">
        <v>6502.08</v>
      </c>
      <c r="C963" s="1">
        <v>21707.69</v>
      </c>
      <c r="D963">
        <v>131.92619999999999</v>
      </c>
      <c r="E963">
        <v>3200.83</v>
      </c>
      <c r="F963">
        <v>805.42</v>
      </c>
      <c r="G963">
        <v>80.119699999999995</v>
      </c>
      <c r="H963">
        <v>92.974800000000002</v>
      </c>
      <c r="I963" s="3">
        <v>2.5</v>
      </c>
      <c r="J963" s="3">
        <v>2.524</v>
      </c>
      <c r="K963" s="3">
        <v>4.41</v>
      </c>
      <c r="L963" s="3">
        <v>2.5339999999999998</v>
      </c>
    </row>
    <row r="964" spans="1:12" x14ac:dyDescent="0.3">
      <c r="A964" s="2">
        <v>45905</v>
      </c>
      <c r="B964" s="1">
        <v>6481.5</v>
      </c>
      <c r="C964" s="1">
        <v>21700.39</v>
      </c>
      <c r="D964">
        <v>132.0444</v>
      </c>
      <c r="E964">
        <v>3205.12</v>
      </c>
      <c r="F964">
        <v>811.4</v>
      </c>
      <c r="G964">
        <v>80.235799999999998</v>
      </c>
      <c r="H964">
        <v>93.4285</v>
      </c>
      <c r="I964" s="3">
        <v>2.5</v>
      </c>
      <c r="J964" s="3">
        <v>2.56</v>
      </c>
      <c r="K964" s="3">
        <v>4.42</v>
      </c>
      <c r="L964" s="3">
        <v>2.5419999999999998</v>
      </c>
    </row>
    <row r="965" spans="1:12" x14ac:dyDescent="0.3">
      <c r="A965" s="2">
        <v>45908</v>
      </c>
      <c r="B965" s="1">
        <v>6495.15</v>
      </c>
      <c r="C965" s="1">
        <v>21798.7</v>
      </c>
      <c r="D965">
        <v>132.68450000000001</v>
      </c>
      <c r="E965">
        <v>3219.59</v>
      </c>
      <c r="F965">
        <v>818.6</v>
      </c>
      <c r="G965">
        <v>80.284199999999998</v>
      </c>
      <c r="H965">
        <v>93.718100000000007</v>
      </c>
      <c r="I965" s="3">
        <v>2.5</v>
      </c>
      <c r="J965" s="3">
        <v>2.524</v>
      </c>
      <c r="K965" s="3">
        <v>4.4000000000000004</v>
      </c>
      <c r="L965" s="3">
        <v>2.5190000000000001</v>
      </c>
    </row>
    <row r="966" spans="1:12" x14ac:dyDescent="0.3">
      <c r="A966" s="2">
        <v>45909</v>
      </c>
      <c r="B966" s="1">
        <v>6512.61</v>
      </c>
      <c r="C966" s="1">
        <v>21879.49</v>
      </c>
      <c r="D966">
        <v>132.88149999999999</v>
      </c>
      <c r="E966">
        <v>3260.05</v>
      </c>
      <c r="F966">
        <v>824.82</v>
      </c>
      <c r="G966">
        <v>80.216499999999996</v>
      </c>
      <c r="H966">
        <v>93.496099999999998</v>
      </c>
      <c r="I966" s="3">
        <v>2.5</v>
      </c>
      <c r="J966" s="3">
        <v>2.5840000000000001</v>
      </c>
      <c r="K966" s="3">
        <v>4.4000000000000004</v>
      </c>
      <c r="L966" s="3">
        <v>2.5099999999999998</v>
      </c>
    </row>
    <row r="967" spans="1:12" x14ac:dyDescent="0.3">
      <c r="A967" s="2">
        <v>45910</v>
      </c>
      <c r="B967" s="1">
        <v>6532.04</v>
      </c>
      <c r="C967" s="1">
        <v>21886.06</v>
      </c>
      <c r="D967">
        <v>133.17699999999999</v>
      </c>
      <c r="E967">
        <v>3314.53</v>
      </c>
      <c r="F967">
        <v>833</v>
      </c>
      <c r="G967">
        <v>80.226100000000002</v>
      </c>
      <c r="H967">
        <v>93.747100000000003</v>
      </c>
      <c r="I967" s="3">
        <v>2.5</v>
      </c>
      <c r="J967" s="3">
        <v>2.5840000000000001</v>
      </c>
      <c r="K967" s="3">
        <v>4.3899999999999997</v>
      </c>
      <c r="L967" s="3">
        <v>2.4950000000000001</v>
      </c>
    </row>
    <row r="968" spans="1:12" x14ac:dyDescent="0.3">
      <c r="A968" s="2">
        <v>45911</v>
      </c>
      <c r="B968" s="1">
        <v>6587.47</v>
      </c>
      <c r="C968" s="1">
        <v>22043.07</v>
      </c>
      <c r="D968">
        <v>134.48689999999999</v>
      </c>
      <c r="E968">
        <v>3344.2</v>
      </c>
      <c r="F968">
        <v>834.76</v>
      </c>
      <c r="G968">
        <v>80.255200000000002</v>
      </c>
      <c r="H968">
        <v>93.891900000000007</v>
      </c>
      <c r="I968" s="3">
        <v>2.5</v>
      </c>
      <c r="J968" s="3">
        <v>2.5499999999999998</v>
      </c>
      <c r="K968" s="3">
        <v>4.41</v>
      </c>
      <c r="L968" s="3">
        <v>2.5230000000000001</v>
      </c>
    </row>
    <row r="969" spans="1:12" x14ac:dyDescent="0.3">
      <c r="A969" s="2">
        <v>45912</v>
      </c>
      <c r="B969" s="1">
        <v>6584.29</v>
      </c>
      <c r="C969" s="1">
        <v>22141.1</v>
      </c>
      <c r="D969">
        <v>134.28989999999999</v>
      </c>
      <c r="E969">
        <v>3395.54</v>
      </c>
      <c r="F969">
        <v>847.08</v>
      </c>
      <c r="G969">
        <v>80.245500000000007</v>
      </c>
      <c r="H969">
        <v>93.621600000000001</v>
      </c>
      <c r="I969" s="3">
        <v>2.5</v>
      </c>
      <c r="J969" s="3">
        <v>2.532</v>
      </c>
      <c r="K969" s="3">
        <v>4.42</v>
      </c>
      <c r="L969" s="3">
        <v>2.5219999999999998</v>
      </c>
    </row>
    <row r="970" spans="1:12" x14ac:dyDescent="0.3">
      <c r="A970" s="2">
        <v>45915</v>
      </c>
      <c r="B970" s="1">
        <v>6615.28</v>
      </c>
      <c r="C970" s="1">
        <v>22348.75</v>
      </c>
      <c r="D970">
        <v>135.16650000000001</v>
      </c>
      <c r="E970">
        <v>3407.31</v>
      </c>
      <c r="F970">
        <v>852.69</v>
      </c>
      <c r="G970">
        <v>80.274500000000003</v>
      </c>
      <c r="H970">
        <v>93.7761</v>
      </c>
      <c r="I970" s="3">
        <v>2.5</v>
      </c>
      <c r="J970" s="3">
        <v>2.5419999999999998</v>
      </c>
      <c r="K970" s="3">
        <v>4.51</v>
      </c>
      <c r="L970" s="3">
        <v>2.532</v>
      </c>
    </row>
    <row r="971" spans="1:12" x14ac:dyDescent="0.3">
      <c r="A971" s="2">
        <v>45916</v>
      </c>
      <c r="B971" s="1">
        <v>6606.76</v>
      </c>
      <c r="C971" s="1">
        <v>22333.96</v>
      </c>
      <c r="D971">
        <v>135.02860000000001</v>
      </c>
      <c r="E971">
        <v>3449.62</v>
      </c>
      <c r="F971">
        <v>851.84</v>
      </c>
      <c r="G971">
        <v>80.313199999999995</v>
      </c>
      <c r="H971">
        <v>93.834000000000003</v>
      </c>
      <c r="I971" s="3">
        <v>2.5</v>
      </c>
      <c r="J971" s="3">
        <v>2.5219999999999998</v>
      </c>
      <c r="K971" s="3">
        <v>4.3899999999999997</v>
      </c>
      <c r="L971" s="3">
        <v>2.5059999999999998</v>
      </c>
    </row>
    <row r="972" spans="1:12" x14ac:dyDescent="0.3">
      <c r="A972" s="2">
        <v>45917</v>
      </c>
      <c r="B972" s="1">
        <v>6600.35</v>
      </c>
      <c r="C972" s="1">
        <v>22261.33</v>
      </c>
      <c r="D972">
        <v>134.9006</v>
      </c>
      <c r="E972">
        <v>3413.4</v>
      </c>
      <c r="F972">
        <v>845.53</v>
      </c>
      <c r="G972">
        <v>80.274500000000003</v>
      </c>
      <c r="H972">
        <v>93.631299999999996</v>
      </c>
      <c r="I972" s="3">
        <v>2.5</v>
      </c>
      <c r="J972" s="3">
        <v>2.512</v>
      </c>
      <c r="K972" s="3">
        <v>4.38</v>
      </c>
      <c r="L972" s="3">
        <v>2.512</v>
      </c>
    </row>
    <row r="973" spans="1:12" x14ac:dyDescent="0.3">
      <c r="A973" s="2">
        <v>45918</v>
      </c>
      <c r="B973" s="1">
        <v>6631.96</v>
      </c>
      <c r="C973" s="1">
        <v>22470.720000000001</v>
      </c>
      <c r="D973">
        <v>135.46190000000001</v>
      </c>
      <c r="E973">
        <v>3461.3</v>
      </c>
      <c r="F973">
        <v>857.11</v>
      </c>
      <c r="G973">
        <v>80.245500000000007</v>
      </c>
      <c r="H973">
        <v>93.322299999999998</v>
      </c>
      <c r="I973" s="3">
        <v>2.5</v>
      </c>
      <c r="J973" s="3">
        <v>2.5139999999999998</v>
      </c>
      <c r="K973" s="3">
        <v>4.1399999999999997</v>
      </c>
      <c r="L973" s="3">
        <v>2.524</v>
      </c>
    </row>
    <row r="974" spans="1:12" x14ac:dyDescent="0.3">
      <c r="A974" s="2">
        <v>45919</v>
      </c>
      <c r="B974" s="1">
        <v>6664.36</v>
      </c>
      <c r="C974" s="1">
        <v>22631.48</v>
      </c>
      <c r="D974">
        <v>135.67859999999999</v>
      </c>
      <c r="E974">
        <v>3445.24</v>
      </c>
      <c r="F974">
        <v>863.11</v>
      </c>
      <c r="G974">
        <v>80.274500000000003</v>
      </c>
      <c r="H974">
        <v>93.283699999999996</v>
      </c>
      <c r="I974" s="3">
        <v>2.5</v>
      </c>
      <c r="J974" s="3">
        <v>2.5339999999999998</v>
      </c>
      <c r="K974" s="3">
        <v>4.1399999999999997</v>
      </c>
      <c r="L974" s="3">
        <v>2.5230000000000001</v>
      </c>
    </row>
    <row r="975" spans="1:12" x14ac:dyDescent="0.3">
      <c r="A975" s="2">
        <v>45922</v>
      </c>
      <c r="B975" s="1">
        <v>6693.75</v>
      </c>
      <c r="C975" s="1">
        <v>22788.98</v>
      </c>
      <c r="D975">
        <v>136.31880000000001</v>
      </c>
      <c r="E975">
        <v>3468.65</v>
      </c>
      <c r="F975">
        <v>874.36</v>
      </c>
      <c r="G975">
        <v>80.235799999999998</v>
      </c>
      <c r="H975">
        <v>93.129300000000001</v>
      </c>
      <c r="I975" s="3">
        <v>2.5</v>
      </c>
      <c r="J975" s="3">
        <v>2.552</v>
      </c>
      <c r="K975" s="3">
        <v>4.1399999999999997</v>
      </c>
      <c r="L975" s="3">
        <v>2.5409999999999999</v>
      </c>
    </row>
    <row r="976" spans="1:12" x14ac:dyDescent="0.3">
      <c r="A976" s="2">
        <v>45923</v>
      </c>
      <c r="B976" s="1">
        <v>6656.92</v>
      </c>
      <c r="C976" s="1">
        <v>22573.47</v>
      </c>
      <c r="D976">
        <v>135.80670000000001</v>
      </c>
      <c r="E976">
        <v>3486.19</v>
      </c>
      <c r="F976">
        <v>872.21</v>
      </c>
      <c r="G976">
        <v>80.264799999999994</v>
      </c>
      <c r="H976">
        <v>93.389899999999997</v>
      </c>
      <c r="I976" s="3">
        <v>2.5</v>
      </c>
      <c r="J976" s="3">
        <v>2.552</v>
      </c>
      <c r="K976" s="3">
        <v>4.12</v>
      </c>
      <c r="L976" s="3">
        <v>2.54</v>
      </c>
    </row>
    <row r="977" spans="1:12" x14ac:dyDescent="0.3">
      <c r="A977" s="2">
        <v>45924</v>
      </c>
      <c r="B977" s="1">
        <v>6637.97</v>
      </c>
      <c r="C977" s="1">
        <v>22497.86</v>
      </c>
      <c r="D977">
        <v>135.22559999999999</v>
      </c>
      <c r="E977">
        <v>3472.14</v>
      </c>
      <c r="F977">
        <v>860.94</v>
      </c>
      <c r="G977">
        <v>80.226100000000002</v>
      </c>
      <c r="H977">
        <v>93.138900000000007</v>
      </c>
      <c r="I977" s="3">
        <v>2.5</v>
      </c>
      <c r="J977" s="3">
        <v>2.5329999999999999</v>
      </c>
      <c r="K977" s="3">
        <v>4.13</v>
      </c>
      <c r="L977" s="3">
        <v>2.5299999999999998</v>
      </c>
    </row>
    <row r="978" spans="1:12" x14ac:dyDescent="0.3">
      <c r="A978" s="2">
        <v>45925</v>
      </c>
      <c r="B978" s="1">
        <v>6604.72</v>
      </c>
      <c r="C978" s="1">
        <v>22384.7</v>
      </c>
      <c r="D978">
        <v>134.5558</v>
      </c>
      <c r="E978">
        <v>3471.11</v>
      </c>
      <c r="F978">
        <v>852.48</v>
      </c>
      <c r="G978">
        <v>80.1584</v>
      </c>
      <c r="H978">
        <v>92.936199999999999</v>
      </c>
      <c r="I978" s="3">
        <v>2.5</v>
      </c>
      <c r="J978" s="3">
        <v>2.5430000000000001</v>
      </c>
      <c r="K978" s="3">
        <v>4.18</v>
      </c>
      <c r="L978" s="3">
        <v>2.5259999999999998</v>
      </c>
    </row>
    <row r="979" spans="1:12" x14ac:dyDescent="0.3">
      <c r="A979" s="2">
        <v>45926</v>
      </c>
      <c r="B979" s="1">
        <v>6643.7</v>
      </c>
      <c r="C979" s="1">
        <v>22484.07</v>
      </c>
      <c r="D979">
        <v>135.26499999999999</v>
      </c>
      <c r="E979">
        <v>3386.05</v>
      </c>
      <c r="F979">
        <v>835.19</v>
      </c>
      <c r="G979">
        <v>80.206800000000001</v>
      </c>
      <c r="H979">
        <v>92.887900000000002</v>
      </c>
      <c r="I979" s="3">
        <v>2.5</v>
      </c>
      <c r="J979" s="3">
        <v>2.5339999999999998</v>
      </c>
      <c r="K979" s="3">
        <v>4.16</v>
      </c>
      <c r="L979" s="3">
        <v>2.5230000000000001</v>
      </c>
    </row>
    <row r="980" spans="1:12" x14ac:dyDescent="0.3">
      <c r="A980" s="2">
        <v>45929</v>
      </c>
      <c r="B980" s="1">
        <v>6661.21</v>
      </c>
      <c r="C980" s="1">
        <v>22591.15</v>
      </c>
      <c r="D980">
        <v>135.59979999999999</v>
      </c>
      <c r="E980">
        <v>3431.21</v>
      </c>
      <c r="F980">
        <v>846.71</v>
      </c>
      <c r="G980">
        <v>80.235799999999998</v>
      </c>
      <c r="H980">
        <v>93.158199999999994</v>
      </c>
      <c r="I980" s="3">
        <v>2.5</v>
      </c>
      <c r="J980" s="3">
        <v>2.544</v>
      </c>
      <c r="K980" s="3">
        <v>4.13</v>
      </c>
      <c r="L980" s="3">
        <v>2.5310000000000001</v>
      </c>
    </row>
    <row r="981" spans="1:12" x14ac:dyDescent="0.3">
      <c r="A981" s="2">
        <v>45930</v>
      </c>
      <c r="B981" s="1">
        <v>6688.46</v>
      </c>
      <c r="C981" s="1">
        <v>22660.01</v>
      </c>
      <c r="D981">
        <v>136.1514</v>
      </c>
      <c r="E981">
        <v>3424.6</v>
      </c>
      <c r="F981">
        <v>841.99</v>
      </c>
      <c r="G981">
        <v>80.274500000000003</v>
      </c>
      <c r="H981">
        <v>93.119600000000005</v>
      </c>
      <c r="I981" s="3">
        <v>2.5</v>
      </c>
      <c r="J981" s="3">
        <v>2.5720000000000001</v>
      </c>
      <c r="K981" s="3">
        <v>4.24</v>
      </c>
      <c r="L981" s="3">
        <v>2.5750000000000002</v>
      </c>
    </row>
    <row r="982" spans="1:12" x14ac:dyDescent="0.3">
      <c r="A982" s="2">
        <v>45931</v>
      </c>
      <c r="B982" s="1">
        <v>6711.2</v>
      </c>
      <c r="C982" s="1">
        <v>22755.16</v>
      </c>
      <c r="D982">
        <v>136.8408</v>
      </c>
      <c r="E982">
        <v>3455.83</v>
      </c>
      <c r="F982">
        <v>845.34</v>
      </c>
      <c r="G982">
        <v>80.367999999999995</v>
      </c>
      <c r="H982">
        <v>93.433800000000005</v>
      </c>
      <c r="I982" s="3">
        <v>2.5</v>
      </c>
      <c r="J982" s="3">
        <v>2.5350000000000001</v>
      </c>
      <c r="K982" s="3">
        <v>4.2</v>
      </c>
      <c r="L982" s="3">
        <v>2.456</v>
      </c>
    </row>
    <row r="983" spans="1:12" x14ac:dyDescent="0.3">
      <c r="A983" s="2">
        <v>45932</v>
      </c>
      <c r="B983" s="1">
        <v>6715.35</v>
      </c>
      <c r="C983" s="1">
        <v>22844.05</v>
      </c>
      <c r="D983">
        <v>137.15600000000001</v>
      </c>
      <c r="E983">
        <v>3549.21</v>
      </c>
      <c r="F983">
        <v>854.25</v>
      </c>
      <c r="G983">
        <v>80.3874</v>
      </c>
      <c r="H983">
        <v>93.530699999999996</v>
      </c>
      <c r="I983" s="3">
        <v>2.5</v>
      </c>
      <c r="J983" s="3">
        <v>2.5339999999999998</v>
      </c>
      <c r="K983" s="3">
        <v>4.2</v>
      </c>
      <c r="L983" s="3">
        <v>2.4830000000000001</v>
      </c>
    </row>
    <row r="984" spans="1:12" x14ac:dyDescent="0.3">
      <c r="A984" s="2">
        <v>45933</v>
      </c>
      <c r="B984" s="1">
        <v>6715.79</v>
      </c>
      <c r="C984" s="1">
        <v>22780.51</v>
      </c>
      <c r="D984">
        <v>137.39230000000001</v>
      </c>
      <c r="E984">
        <v>3549.21</v>
      </c>
      <c r="F984">
        <v>854.25</v>
      </c>
      <c r="G984">
        <v>80.3583</v>
      </c>
      <c r="H984">
        <v>93.346699999999998</v>
      </c>
      <c r="I984" s="3">
        <v>2.5</v>
      </c>
      <c r="J984" s="3">
        <v>2.5339999999999998</v>
      </c>
      <c r="K984" s="3">
        <v>4.18</v>
      </c>
      <c r="L984" s="3">
        <v>2.5</v>
      </c>
    </row>
    <row r="985" spans="1:12" x14ac:dyDescent="0.3">
      <c r="A985" s="2">
        <v>45936</v>
      </c>
      <c r="B985" s="1">
        <v>6740.28</v>
      </c>
      <c r="C985" s="1">
        <v>22941.67</v>
      </c>
      <c r="D985">
        <v>137.934</v>
      </c>
      <c r="E985">
        <v>3549.21</v>
      </c>
      <c r="F985">
        <v>854.25</v>
      </c>
      <c r="G985">
        <v>80.338800000000006</v>
      </c>
      <c r="H985">
        <v>93.075599999999994</v>
      </c>
      <c r="I985" s="3">
        <v>2.5</v>
      </c>
      <c r="J985" s="3">
        <v>2.5339999999999998</v>
      </c>
      <c r="K985" s="3">
        <v>4.1500000000000004</v>
      </c>
      <c r="L985" s="3">
        <v>2.5</v>
      </c>
    </row>
    <row r="986" spans="1:12" x14ac:dyDescent="0.3">
      <c r="A986" s="2">
        <v>45937</v>
      </c>
      <c r="B986" s="1">
        <v>6714.59</v>
      </c>
      <c r="C986" s="1">
        <v>22788.36</v>
      </c>
      <c r="D986">
        <v>137.10669999999999</v>
      </c>
      <c r="E986">
        <v>3549.21</v>
      </c>
      <c r="F986">
        <v>854.25</v>
      </c>
      <c r="G986">
        <v>80.377700000000004</v>
      </c>
      <c r="H986">
        <v>93.307900000000004</v>
      </c>
      <c r="I986" s="3">
        <v>2.5</v>
      </c>
      <c r="J986" s="3">
        <v>2.5339999999999998</v>
      </c>
      <c r="K986" s="3">
        <v>4.1399999999999997</v>
      </c>
      <c r="L986" s="3">
        <v>2.5</v>
      </c>
    </row>
    <row r="987" spans="1:12" x14ac:dyDescent="0.3">
      <c r="A987" s="2">
        <v>45938</v>
      </c>
      <c r="B987" s="1">
        <v>6753.72</v>
      </c>
      <c r="C987" s="1">
        <v>23043.38</v>
      </c>
      <c r="D987">
        <v>137.9143</v>
      </c>
      <c r="E987">
        <v>3549.21</v>
      </c>
      <c r="F987">
        <v>854.25</v>
      </c>
      <c r="G987">
        <v>80.367999999999995</v>
      </c>
      <c r="H987">
        <v>93.327299999999994</v>
      </c>
      <c r="I987" s="3">
        <v>2.5</v>
      </c>
      <c r="J987" s="3">
        <v>2.5339999999999998</v>
      </c>
      <c r="K987" s="3">
        <v>4.12</v>
      </c>
      <c r="L987" s="3">
        <v>2.5</v>
      </c>
    </row>
    <row r="988" spans="1:12" x14ac:dyDescent="0.3">
      <c r="A988" s="2">
        <v>45939</v>
      </c>
      <c r="B988" s="1">
        <v>6735.11</v>
      </c>
      <c r="C988" s="1">
        <v>23024.63</v>
      </c>
      <c r="D988">
        <v>137.24459999999999</v>
      </c>
      <c r="E988">
        <v>3549.21</v>
      </c>
      <c r="F988">
        <v>854.25</v>
      </c>
      <c r="G988">
        <v>80.3583</v>
      </c>
      <c r="H988">
        <v>93.259500000000003</v>
      </c>
      <c r="I988" s="3">
        <v>2.5</v>
      </c>
      <c r="J988" s="3">
        <v>2.5339999999999998</v>
      </c>
      <c r="K988" s="3">
        <v>4.13</v>
      </c>
      <c r="L988" s="3">
        <v>2.5</v>
      </c>
    </row>
    <row r="989" spans="1:12" x14ac:dyDescent="0.3">
      <c r="A989" s="2">
        <v>45940</v>
      </c>
      <c r="B989" s="1">
        <v>6552.51</v>
      </c>
      <c r="C989" s="1">
        <v>22204.43</v>
      </c>
      <c r="D989">
        <v>133.65960000000001</v>
      </c>
      <c r="E989">
        <v>3610.6</v>
      </c>
      <c r="F989">
        <v>859.49</v>
      </c>
      <c r="G989">
        <v>80.494100000000003</v>
      </c>
      <c r="H989">
        <v>93.840500000000006</v>
      </c>
      <c r="I989" s="3">
        <v>2.5</v>
      </c>
      <c r="J989" s="3">
        <v>2.5430000000000001</v>
      </c>
      <c r="K989" s="3">
        <v>4.1500000000000004</v>
      </c>
      <c r="L989" s="3">
        <v>2.5390000000000001</v>
      </c>
    </row>
    <row r="990" spans="1:12" x14ac:dyDescent="0.3">
      <c r="A990" s="2">
        <v>45943</v>
      </c>
      <c r="B990" s="1">
        <v>6654.72</v>
      </c>
      <c r="C990" s="1">
        <v>22694.61</v>
      </c>
      <c r="D990">
        <v>135.73769999999999</v>
      </c>
      <c r="E990">
        <v>3584.55</v>
      </c>
      <c r="F990">
        <v>860.49</v>
      </c>
      <c r="G990">
        <v>80.6494</v>
      </c>
      <c r="H990">
        <v>93.888900000000007</v>
      </c>
      <c r="I990" s="3">
        <v>2.5</v>
      </c>
      <c r="J990" s="3">
        <v>2.5419999999999998</v>
      </c>
      <c r="K990" s="3">
        <v>4.1500000000000004</v>
      </c>
      <c r="L990" s="3">
        <v>2.536</v>
      </c>
    </row>
    <row r="991" spans="1:12" x14ac:dyDescent="0.3">
      <c r="A991" s="2">
        <v>45944</v>
      </c>
      <c r="B991" s="1">
        <v>6644.31</v>
      </c>
      <c r="C991" s="1">
        <v>22521.7</v>
      </c>
      <c r="D991">
        <v>135.59979999999999</v>
      </c>
      <c r="E991">
        <v>3561.81</v>
      </c>
      <c r="F991">
        <v>847.96</v>
      </c>
      <c r="G991">
        <v>80.591200000000001</v>
      </c>
      <c r="H991">
        <v>94.131</v>
      </c>
      <c r="I991" s="3">
        <v>2.5</v>
      </c>
      <c r="J991" s="3">
        <v>2.5129999999999999</v>
      </c>
      <c r="K991" s="3">
        <v>4.1900000000000004</v>
      </c>
      <c r="L991" s="3">
        <v>2.516</v>
      </c>
    </row>
    <row r="992" spans="1:12" x14ac:dyDescent="0.3">
      <c r="A992" s="2">
        <v>45945</v>
      </c>
      <c r="B992" s="1">
        <v>6671.06</v>
      </c>
      <c r="C992" s="1">
        <v>22670.080000000002</v>
      </c>
      <c r="D992">
        <v>136.4665</v>
      </c>
      <c r="E992">
        <v>3657.28</v>
      </c>
      <c r="F992">
        <v>864.72</v>
      </c>
      <c r="G992">
        <v>80.552400000000006</v>
      </c>
      <c r="H992">
        <v>94.024500000000003</v>
      </c>
      <c r="I992" s="3">
        <v>2.5</v>
      </c>
      <c r="J992" s="3">
        <v>2.496</v>
      </c>
      <c r="K992" s="3">
        <v>4.29</v>
      </c>
      <c r="L992" s="3">
        <v>2.5219999999999998</v>
      </c>
    </row>
    <row r="993" spans="1:12" x14ac:dyDescent="0.3">
      <c r="A993" s="2">
        <v>45946</v>
      </c>
      <c r="B993" s="1">
        <v>6629.07</v>
      </c>
      <c r="C993" s="1">
        <v>22562.54</v>
      </c>
      <c r="D993">
        <v>135.99379999999999</v>
      </c>
      <c r="E993">
        <v>3748.37</v>
      </c>
      <c r="F993">
        <v>865.41</v>
      </c>
      <c r="G993">
        <v>80.659099999999995</v>
      </c>
      <c r="H993">
        <v>94.460300000000004</v>
      </c>
      <c r="I993" s="3">
        <v>2.5</v>
      </c>
      <c r="J993" s="3">
        <v>2.5049999999999999</v>
      </c>
      <c r="K993" s="3">
        <v>4.3</v>
      </c>
      <c r="L993" s="3">
        <v>2.5259999999999998</v>
      </c>
    </row>
    <row r="994" spans="1:12" x14ac:dyDescent="0.3">
      <c r="A994" s="2">
        <v>45947</v>
      </c>
      <c r="B994" s="1">
        <v>6664.01</v>
      </c>
      <c r="C994" s="1">
        <v>22679.97</v>
      </c>
      <c r="D994">
        <v>136.53550000000001</v>
      </c>
      <c r="E994">
        <v>3748.89</v>
      </c>
      <c r="F994">
        <v>859.54</v>
      </c>
      <c r="G994">
        <v>80.644599999999997</v>
      </c>
      <c r="H994">
        <v>94.305300000000003</v>
      </c>
      <c r="I994" s="3">
        <v>2.5</v>
      </c>
      <c r="J994" s="3">
        <v>2.5129999999999999</v>
      </c>
      <c r="K994" s="3">
        <v>4.18</v>
      </c>
      <c r="L994" s="3">
        <v>2.5139999999999998</v>
      </c>
    </row>
    <row r="995" spans="1:12" x14ac:dyDescent="0.3">
      <c r="A995" s="2">
        <v>45950</v>
      </c>
      <c r="B995" s="1">
        <v>6735.13</v>
      </c>
      <c r="C995" s="1">
        <v>22990.54</v>
      </c>
      <c r="D995">
        <v>137.90450000000001</v>
      </c>
      <c r="E995">
        <v>3814.69</v>
      </c>
      <c r="F995">
        <v>875.77</v>
      </c>
      <c r="G995">
        <v>80.659099999999995</v>
      </c>
      <c r="H995">
        <v>94.431200000000004</v>
      </c>
      <c r="I995" s="3">
        <v>2.5</v>
      </c>
      <c r="J995" s="3">
        <v>2.532</v>
      </c>
      <c r="K995" s="3">
        <v>4.16</v>
      </c>
      <c r="L995" s="3">
        <v>2.5169999999999999</v>
      </c>
    </row>
    <row r="996" spans="1:12" x14ac:dyDescent="0.3">
      <c r="A996" s="2">
        <v>45951</v>
      </c>
      <c r="B996" s="1">
        <v>6735.35</v>
      </c>
      <c r="C996" s="1">
        <v>22953.67</v>
      </c>
      <c r="D996">
        <v>137.50069999999999</v>
      </c>
      <c r="E996">
        <v>3823.84</v>
      </c>
      <c r="F996">
        <v>872.5</v>
      </c>
      <c r="G996">
        <v>80.678600000000003</v>
      </c>
      <c r="H996">
        <v>94.605500000000006</v>
      </c>
      <c r="I996" s="3">
        <v>2.5</v>
      </c>
      <c r="J996" s="3">
        <v>2.5129999999999999</v>
      </c>
      <c r="K996" s="3">
        <v>4.2300000000000004</v>
      </c>
      <c r="L996" s="3">
        <v>2.5169999999999999</v>
      </c>
    </row>
    <row r="997" spans="1:12" x14ac:dyDescent="0.3">
      <c r="A997" s="2">
        <v>45952</v>
      </c>
      <c r="B997" s="1">
        <v>6699.4</v>
      </c>
      <c r="C997" s="1">
        <v>22740.400000000001</v>
      </c>
      <c r="D997">
        <v>136.959</v>
      </c>
      <c r="E997">
        <v>3883.68</v>
      </c>
      <c r="F997">
        <v>879.15</v>
      </c>
      <c r="G997">
        <v>80.678600000000003</v>
      </c>
      <c r="H997">
        <v>94.624899999999997</v>
      </c>
      <c r="I997" s="3">
        <v>2.5</v>
      </c>
      <c r="J997" s="3">
        <v>2.5209999999999999</v>
      </c>
      <c r="K997" s="3">
        <v>4.21</v>
      </c>
      <c r="L997" s="3">
        <v>2.5179999999999998</v>
      </c>
    </row>
    <row r="998" spans="1:12" x14ac:dyDescent="0.3">
      <c r="A998" s="2">
        <v>45953</v>
      </c>
      <c r="B998" s="1">
        <v>6738.44</v>
      </c>
      <c r="C998" s="1">
        <v>22941.8</v>
      </c>
      <c r="D998">
        <v>137.8355</v>
      </c>
      <c r="E998">
        <v>3845.56</v>
      </c>
      <c r="F998">
        <v>872.03</v>
      </c>
      <c r="G998">
        <v>80.6203</v>
      </c>
      <c r="H998">
        <v>94.314999999999998</v>
      </c>
      <c r="I998" s="3">
        <v>2.5</v>
      </c>
      <c r="J998" s="3">
        <v>2.5219999999999998</v>
      </c>
      <c r="K998" s="3">
        <v>4.24</v>
      </c>
      <c r="L998" s="3">
        <v>2.5110000000000001</v>
      </c>
    </row>
    <row r="999" spans="1:12" x14ac:dyDescent="0.3">
      <c r="A999" s="2">
        <v>45954</v>
      </c>
      <c r="B999" s="1">
        <v>6791.69</v>
      </c>
      <c r="C999" s="1">
        <v>23204.87</v>
      </c>
      <c r="D999">
        <v>138.73179999999999</v>
      </c>
      <c r="E999">
        <v>3941.59</v>
      </c>
      <c r="F999">
        <v>883.08</v>
      </c>
      <c r="G999">
        <v>80.668899999999994</v>
      </c>
      <c r="H999">
        <v>94.402199999999993</v>
      </c>
      <c r="I999" s="3">
        <v>2.5</v>
      </c>
      <c r="J999" s="3">
        <v>2.5409999999999999</v>
      </c>
      <c r="K999" s="3">
        <v>4.24</v>
      </c>
      <c r="L999" s="3">
        <v>2.5299999999999998</v>
      </c>
    </row>
    <row r="1000" spans="1:12" x14ac:dyDescent="0.3">
      <c r="A1000" s="2">
        <v>45957</v>
      </c>
      <c r="B1000" s="1">
        <v>6875.16</v>
      </c>
      <c r="C1000" s="1">
        <v>23637.46</v>
      </c>
      <c r="D1000">
        <v>140.18940000000001</v>
      </c>
      <c r="E1000">
        <v>4042.83</v>
      </c>
      <c r="F1000">
        <v>902.7</v>
      </c>
      <c r="G1000">
        <v>80.6494</v>
      </c>
      <c r="H1000">
        <v>94.402199999999993</v>
      </c>
      <c r="I1000" s="3">
        <v>2.5</v>
      </c>
      <c r="J1000" s="3">
        <v>2.5419999999999998</v>
      </c>
      <c r="K1000" s="3">
        <v>4.2699999999999996</v>
      </c>
      <c r="L1000" s="3">
        <v>2.528</v>
      </c>
    </row>
    <row r="1001" spans="1:12" x14ac:dyDescent="0.3">
      <c r="A1001" s="2">
        <v>45958</v>
      </c>
      <c r="B1001" s="1">
        <v>6890.89</v>
      </c>
      <c r="C1001" s="1">
        <v>23827.49</v>
      </c>
      <c r="D1001">
        <v>140.39619999999999</v>
      </c>
      <c r="E1001">
        <v>4010.41</v>
      </c>
      <c r="F1001">
        <v>903.3</v>
      </c>
      <c r="G1001">
        <v>80.659099999999995</v>
      </c>
      <c r="H1001">
        <v>94.4893</v>
      </c>
      <c r="I1001" s="3">
        <v>2.5</v>
      </c>
      <c r="J1001" s="3">
        <v>2.5419999999999998</v>
      </c>
      <c r="K1001" s="3">
        <v>4.3099999999999996</v>
      </c>
      <c r="L1001" s="3">
        <v>2.5059999999999998</v>
      </c>
    </row>
    <row r="1002" spans="1:12" x14ac:dyDescent="0.3">
      <c r="A1002" s="2">
        <v>45959</v>
      </c>
      <c r="B1002" s="1">
        <v>6890.59</v>
      </c>
      <c r="C1002" s="1">
        <v>23958.47</v>
      </c>
      <c r="D1002">
        <v>140.40610000000001</v>
      </c>
      <c r="E1002">
        <v>4081.15</v>
      </c>
      <c r="F1002">
        <v>901.59</v>
      </c>
      <c r="G1002">
        <v>80.498999999999995</v>
      </c>
      <c r="H1002">
        <v>93.879300000000001</v>
      </c>
      <c r="I1002" s="3">
        <v>2.5</v>
      </c>
      <c r="J1002" s="3">
        <v>2.4940000000000002</v>
      </c>
      <c r="K1002" s="3">
        <v>4.2699999999999996</v>
      </c>
      <c r="L1002" s="3">
        <v>2.512</v>
      </c>
    </row>
    <row r="1003" spans="1:12" x14ac:dyDescent="0.3">
      <c r="A1003" s="2">
        <v>45960</v>
      </c>
      <c r="B1003" s="1">
        <v>6822.34</v>
      </c>
      <c r="C1003" s="1">
        <v>23581.14</v>
      </c>
      <c r="D1003">
        <v>139.03710000000001</v>
      </c>
      <c r="E1003">
        <v>4086.89</v>
      </c>
      <c r="F1003">
        <v>890.86</v>
      </c>
      <c r="G1003">
        <v>80.513599999999997</v>
      </c>
      <c r="H1003">
        <v>93.743700000000004</v>
      </c>
      <c r="I1003" s="3">
        <v>2.5</v>
      </c>
      <c r="J1003" s="3">
        <v>2.5019999999999998</v>
      </c>
      <c r="K1003" s="3">
        <v>4.04</v>
      </c>
      <c r="L1003" s="3">
        <v>2.5070000000000001</v>
      </c>
    </row>
    <row r="1004" spans="1:12" x14ac:dyDescent="0.3">
      <c r="A1004" s="2">
        <v>45961</v>
      </c>
      <c r="B1004" s="1">
        <v>6840.2</v>
      </c>
      <c r="C1004" s="1">
        <v>23724.959999999999</v>
      </c>
      <c r="D1004">
        <v>139.27350000000001</v>
      </c>
      <c r="E1004">
        <v>4107.5</v>
      </c>
      <c r="F1004">
        <v>900.42</v>
      </c>
      <c r="G1004">
        <v>80.542699999999996</v>
      </c>
      <c r="H1004">
        <v>93.782399999999996</v>
      </c>
      <c r="I1004" s="3">
        <v>2.5</v>
      </c>
      <c r="J1004" s="3">
        <v>2.5310000000000001</v>
      </c>
      <c r="K1004" s="3">
        <v>4.22</v>
      </c>
      <c r="L1004" s="3">
        <v>2.5110000000000001</v>
      </c>
    </row>
    <row r="1005" spans="1:12" x14ac:dyDescent="0.3">
      <c r="A1005" s="2">
        <v>45964</v>
      </c>
      <c r="B1005" s="1">
        <v>6851.97</v>
      </c>
      <c r="C1005" s="1">
        <v>23834.720000000001</v>
      </c>
      <c r="D1005">
        <v>139.5788</v>
      </c>
      <c r="E1005">
        <v>4221.87</v>
      </c>
      <c r="F1005">
        <v>914.55</v>
      </c>
      <c r="G1005">
        <v>80.545299999999997</v>
      </c>
      <c r="H1005">
        <v>93.7376</v>
      </c>
      <c r="I1005" s="3">
        <v>2.5</v>
      </c>
      <c r="J1005" s="3">
        <v>2.4910000000000001</v>
      </c>
      <c r="K1005" s="3">
        <v>4.13</v>
      </c>
      <c r="L1005" s="3">
        <v>2.488</v>
      </c>
    </row>
    <row r="1006" spans="1:12" x14ac:dyDescent="0.3">
      <c r="A1006" s="2">
        <v>45965</v>
      </c>
      <c r="B1006" s="1">
        <v>6771.55</v>
      </c>
      <c r="C1006" s="1">
        <v>23348.639999999999</v>
      </c>
      <c r="D1006">
        <v>137.7961</v>
      </c>
      <c r="E1006">
        <v>4121.74</v>
      </c>
      <c r="F1006">
        <v>926.57</v>
      </c>
      <c r="G1006">
        <v>80.5745</v>
      </c>
      <c r="H1006">
        <v>93.854100000000003</v>
      </c>
      <c r="I1006" s="3">
        <v>2.5</v>
      </c>
      <c r="J1006" s="3">
        <v>2.4990000000000001</v>
      </c>
      <c r="K1006" s="3">
        <v>4</v>
      </c>
      <c r="L1006" s="3">
        <v>2.4300000000000002</v>
      </c>
    </row>
    <row r="1007" spans="1:12" x14ac:dyDescent="0.3">
      <c r="A1007" s="2">
        <v>45966</v>
      </c>
      <c r="B1007" s="1">
        <v>6796.29</v>
      </c>
      <c r="C1007" s="1">
        <v>23499.8</v>
      </c>
      <c r="D1007">
        <v>138.43629999999999</v>
      </c>
      <c r="E1007">
        <v>4004.42</v>
      </c>
      <c r="F1007">
        <v>901.89</v>
      </c>
      <c r="G1007">
        <v>80.516099999999994</v>
      </c>
      <c r="H1007">
        <v>93.407300000000006</v>
      </c>
      <c r="I1007" s="3">
        <v>2.5</v>
      </c>
      <c r="J1007" s="3">
        <v>2.4990000000000001</v>
      </c>
      <c r="K1007" s="3">
        <v>3.91</v>
      </c>
      <c r="L1007" s="3">
        <v>2.4889999999999999</v>
      </c>
    </row>
    <row r="1008" spans="1:12" x14ac:dyDescent="0.3">
      <c r="A1008" s="2">
        <v>45967</v>
      </c>
      <c r="B1008" s="1">
        <v>6720.32</v>
      </c>
      <c r="C1008" s="1">
        <v>23053.99</v>
      </c>
      <c r="D1008">
        <v>137.2347</v>
      </c>
      <c r="E1008">
        <v>4026.45</v>
      </c>
      <c r="F1008">
        <v>898.17</v>
      </c>
      <c r="G1008">
        <v>80.613500000000002</v>
      </c>
      <c r="H1008">
        <v>93.883300000000006</v>
      </c>
      <c r="I1008" s="3">
        <v>2.5</v>
      </c>
      <c r="J1008" s="3">
        <v>2.4950000000000001</v>
      </c>
      <c r="K1008" s="3">
        <v>3.92</v>
      </c>
      <c r="L1008" s="3">
        <v>2.5179999999999998</v>
      </c>
    </row>
    <row r="1009" spans="1:12" x14ac:dyDescent="0.3">
      <c r="A1009" s="2">
        <v>45968</v>
      </c>
      <c r="B1009" s="1">
        <v>6728.8</v>
      </c>
      <c r="C1009" s="1">
        <v>23004.54</v>
      </c>
      <c r="D1009">
        <v>137.43170000000001</v>
      </c>
      <c r="E1009">
        <v>3953.76</v>
      </c>
      <c r="F1009">
        <v>876.81</v>
      </c>
      <c r="G1009">
        <v>80.6524</v>
      </c>
      <c r="H1009">
        <v>93.9221</v>
      </c>
      <c r="I1009" s="3">
        <v>2.5</v>
      </c>
      <c r="J1009" s="3">
        <v>2.524</v>
      </c>
      <c r="K1009" s="3">
        <v>3.93</v>
      </c>
      <c r="L1009" s="3">
        <v>2.5179999999999998</v>
      </c>
    </row>
    <row r="1010" spans="1:12" x14ac:dyDescent="0.3">
      <c r="A1010" s="2">
        <v>45971</v>
      </c>
      <c r="B1010" s="1">
        <v>6832.43</v>
      </c>
      <c r="C1010" s="1">
        <v>23527.17</v>
      </c>
      <c r="D1010">
        <v>139.4409</v>
      </c>
      <c r="E1010">
        <v>4073.24</v>
      </c>
      <c r="F1010">
        <v>888.35</v>
      </c>
      <c r="G1010">
        <v>80.632999999999996</v>
      </c>
      <c r="H1010">
        <v>93.795900000000003</v>
      </c>
      <c r="I1010" s="3">
        <v>2.5</v>
      </c>
      <c r="J1010" s="3">
        <v>2.532</v>
      </c>
      <c r="K1010" s="3">
        <v>3.95</v>
      </c>
      <c r="L1010" s="3">
        <v>2.52</v>
      </c>
    </row>
    <row r="1011" spans="1:12" x14ac:dyDescent="0.3">
      <c r="A1011" s="2">
        <v>45972</v>
      </c>
      <c r="B1011" s="1">
        <v>6846.61</v>
      </c>
      <c r="C1011" s="1">
        <v>23468.3</v>
      </c>
      <c r="D1011">
        <v>139.90379999999999</v>
      </c>
      <c r="E1011">
        <v>4106.3900000000003</v>
      </c>
      <c r="F1011">
        <v>884.27</v>
      </c>
      <c r="G1011">
        <v>80.701099999999997</v>
      </c>
      <c r="H1011">
        <v>94.087299999999999</v>
      </c>
      <c r="I1011" s="3">
        <v>2.5</v>
      </c>
      <c r="J1011" s="3">
        <v>2.532</v>
      </c>
      <c r="K1011" s="3">
        <v>3.95</v>
      </c>
      <c r="L1011" s="3">
        <v>2.5209999999999999</v>
      </c>
    </row>
    <row r="1012" spans="1:12" x14ac:dyDescent="0.3">
      <c r="A1012" s="2">
        <v>45973</v>
      </c>
      <c r="B1012" s="1">
        <v>6850.92</v>
      </c>
      <c r="C1012" s="1">
        <v>23406.46</v>
      </c>
      <c r="D1012">
        <v>140.17959999999999</v>
      </c>
      <c r="E1012">
        <v>4150.3900000000003</v>
      </c>
      <c r="F1012">
        <v>906.51</v>
      </c>
      <c r="G1012">
        <v>80.671899999999994</v>
      </c>
      <c r="H1012">
        <v>94.106700000000004</v>
      </c>
      <c r="I1012" s="3">
        <v>2.5</v>
      </c>
      <c r="J1012" s="3">
        <v>2.512</v>
      </c>
      <c r="K1012" s="3">
        <v>3.98</v>
      </c>
      <c r="L1012" s="3">
        <v>2.5099999999999998</v>
      </c>
    </row>
    <row r="1013" spans="1:12" x14ac:dyDescent="0.3">
      <c r="A1013" s="2">
        <v>45974</v>
      </c>
      <c r="B1013" s="1">
        <v>6737.49</v>
      </c>
      <c r="C1013" s="1">
        <v>22870.36</v>
      </c>
      <c r="D1013">
        <v>138.0325</v>
      </c>
      <c r="E1013">
        <v>4170.63</v>
      </c>
      <c r="F1013">
        <v>918.37</v>
      </c>
      <c r="G1013">
        <v>80.623199999999997</v>
      </c>
      <c r="H1013">
        <v>93.834699999999998</v>
      </c>
      <c r="I1013" s="3">
        <v>2.5</v>
      </c>
      <c r="J1013" s="3">
        <v>2.532</v>
      </c>
      <c r="K1013" s="3">
        <v>4</v>
      </c>
      <c r="L1013" s="3">
        <v>2.52</v>
      </c>
    </row>
    <row r="1014" spans="1:12" x14ac:dyDescent="0.3">
      <c r="A1014" s="2">
        <v>45975</v>
      </c>
      <c r="B1014" s="1">
        <v>6734.11</v>
      </c>
      <c r="C1014" s="1">
        <v>22900.59</v>
      </c>
      <c r="D1014">
        <v>137.96360000000001</v>
      </c>
      <c r="E1014">
        <v>4011.57</v>
      </c>
      <c r="F1014">
        <v>897.9</v>
      </c>
      <c r="G1014">
        <v>80.6524</v>
      </c>
      <c r="H1014">
        <v>93.679299999999998</v>
      </c>
      <c r="I1014" s="3">
        <v>2.5</v>
      </c>
      <c r="J1014" s="3">
        <v>2.5219999999999998</v>
      </c>
      <c r="K1014" s="3">
        <v>3.95</v>
      </c>
      <c r="L1014" s="3">
        <v>2.5129999999999999</v>
      </c>
    </row>
    <row r="1015" spans="1:12" x14ac:dyDescent="0.3">
      <c r="A1015" s="2">
        <v>45978</v>
      </c>
      <c r="B1015" s="1">
        <v>6672.41</v>
      </c>
      <c r="C1015" s="1">
        <v>22708.07</v>
      </c>
      <c r="D1015">
        <v>136.4862</v>
      </c>
      <c r="E1015">
        <v>4089.25</v>
      </c>
      <c r="F1015">
        <v>902.67</v>
      </c>
      <c r="G1015">
        <v>80.642700000000005</v>
      </c>
      <c r="H1015">
        <v>93.786100000000005</v>
      </c>
      <c r="I1015" s="3">
        <v>2.5</v>
      </c>
      <c r="J1015" s="3">
        <v>2.5129999999999999</v>
      </c>
      <c r="K1015" s="3">
        <v>4</v>
      </c>
      <c r="L1015" s="3">
        <v>2.5110000000000001</v>
      </c>
    </row>
    <row r="1016" spans="1:12" x14ac:dyDescent="0.3">
      <c r="A1016" s="2">
        <v>45979</v>
      </c>
      <c r="B1016" s="1">
        <v>6617.32</v>
      </c>
      <c r="C1016" s="1">
        <v>22432.85</v>
      </c>
      <c r="D1016">
        <v>135.3142</v>
      </c>
      <c r="E1016">
        <v>3953.62</v>
      </c>
      <c r="F1016">
        <v>878.7</v>
      </c>
      <c r="G1016">
        <v>80.691400000000002</v>
      </c>
      <c r="H1016">
        <v>93.941599999999994</v>
      </c>
      <c r="I1016" s="3">
        <v>2.5</v>
      </c>
      <c r="J1016" s="3">
        <v>2.5110000000000001</v>
      </c>
      <c r="K1016" s="3">
        <v>3.94</v>
      </c>
      <c r="L1016" s="3">
        <v>2.4969999999999999</v>
      </c>
    </row>
    <row r="1017" spans="1:12" x14ac:dyDescent="0.3">
      <c r="A1017" s="2">
        <v>45980</v>
      </c>
      <c r="B1017" s="1">
        <v>6642.16</v>
      </c>
      <c r="C1017" s="1">
        <v>22564.23</v>
      </c>
      <c r="D1017">
        <v>135.50129999999999</v>
      </c>
      <c r="E1017">
        <v>3929.51</v>
      </c>
      <c r="F1017">
        <v>871.32</v>
      </c>
      <c r="G1017">
        <v>80.681600000000003</v>
      </c>
      <c r="H1017">
        <v>93.873599999999996</v>
      </c>
      <c r="I1017" s="3">
        <v>2.5</v>
      </c>
      <c r="J1017" s="3">
        <v>2.5019999999999998</v>
      </c>
      <c r="K1017" s="3">
        <v>3.91</v>
      </c>
      <c r="L1017" s="3">
        <v>2.512</v>
      </c>
    </row>
    <row r="1018" spans="1:12" x14ac:dyDescent="0.3">
      <c r="A1018" s="2">
        <v>45981</v>
      </c>
      <c r="B1018" s="1">
        <v>6538.76</v>
      </c>
      <c r="C1018" s="1">
        <v>22078.05</v>
      </c>
      <c r="D1018">
        <v>133.4528</v>
      </c>
      <c r="E1018">
        <v>4004.85</v>
      </c>
      <c r="F1018">
        <v>891.94</v>
      </c>
      <c r="G1018">
        <v>80.749799999999993</v>
      </c>
      <c r="H1018">
        <v>94.096999999999994</v>
      </c>
      <c r="I1018" s="3">
        <v>2.5</v>
      </c>
      <c r="J1018" s="3">
        <v>2.5129999999999999</v>
      </c>
      <c r="K1018" s="3">
        <v>3.91</v>
      </c>
      <c r="L1018" s="3">
        <v>2.5139999999999998</v>
      </c>
    </row>
    <row r="1019" spans="1:12" x14ac:dyDescent="0.3">
      <c r="A1019" s="2">
        <v>45982</v>
      </c>
      <c r="B1019" s="1">
        <v>6602.99</v>
      </c>
      <c r="C1019" s="1">
        <v>22273.08</v>
      </c>
      <c r="D1019">
        <v>134.77250000000001</v>
      </c>
      <c r="E1019">
        <v>3853.26</v>
      </c>
      <c r="F1019">
        <v>863.95</v>
      </c>
      <c r="G1019">
        <v>80.847200000000001</v>
      </c>
      <c r="H1019">
        <v>94.407799999999995</v>
      </c>
      <c r="I1019" s="3">
        <v>2.5</v>
      </c>
      <c r="J1019" s="3">
        <v>2.5230000000000001</v>
      </c>
      <c r="K1019" s="3">
        <v>3.93</v>
      </c>
      <c r="L1019" s="3">
        <v>2.5179999999999998</v>
      </c>
    </row>
    <row r="1020" spans="1:12" x14ac:dyDescent="0.3">
      <c r="A1020" s="2">
        <v>45985</v>
      </c>
      <c r="B1020" s="1">
        <v>6705.12</v>
      </c>
      <c r="C1020" s="1">
        <v>22872.01</v>
      </c>
      <c r="D1020">
        <v>136.26949999999999</v>
      </c>
      <c r="E1020">
        <v>3846.06</v>
      </c>
      <c r="F1020">
        <v>856.44</v>
      </c>
      <c r="G1020">
        <v>80.856899999999996</v>
      </c>
      <c r="H1020">
        <v>94.5535</v>
      </c>
      <c r="I1020" s="3">
        <v>2.5</v>
      </c>
      <c r="J1020" s="3">
        <v>2.524</v>
      </c>
      <c r="K1020" s="3">
        <v>3.96</v>
      </c>
      <c r="L1020" s="3">
        <v>2.5190000000000001</v>
      </c>
    </row>
    <row r="1021" spans="1:12" x14ac:dyDescent="0.3">
      <c r="A1021" s="2">
        <v>45986</v>
      </c>
      <c r="B1021" s="1">
        <v>6765.88</v>
      </c>
      <c r="C1021" s="1">
        <v>23025.59</v>
      </c>
      <c r="D1021">
        <v>137.51050000000001</v>
      </c>
      <c r="E1021">
        <v>3857.78</v>
      </c>
      <c r="F1021">
        <v>856.03</v>
      </c>
      <c r="G1021">
        <v>80.905600000000007</v>
      </c>
      <c r="H1021">
        <v>94.796400000000006</v>
      </c>
      <c r="I1021" s="3">
        <v>2.5</v>
      </c>
      <c r="J1021" s="3">
        <v>2.5230000000000001</v>
      </c>
      <c r="K1021" s="3">
        <v>4.01</v>
      </c>
      <c r="L1021" s="3">
        <v>2.52</v>
      </c>
    </row>
    <row r="1022" spans="1:12" x14ac:dyDescent="0.3">
      <c r="A1022" s="2">
        <v>45987</v>
      </c>
      <c r="B1022" s="1">
        <v>6812.61</v>
      </c>
      <c r="C1022" s="1">
        <v>23214.69</v>
      </c>
      <c r="D1022">
        <v>138.6431</v>
      </c>
      <c r="E1022">
        <v>3960.87</v>
      </c>
      <c r="F1022">
        <v>877.32</v>
      </c>
      <c r="G1022">
        <v>80.895899999999997</v>
      </c>
      <c r="H1022">
        <v>94.874099999999999</v>
      </c>
      <c r="I1022" s="3">
        <v>2.5</v>
      </c>
      <c r="J1022" s="3">
        <v>2.5419999999999998</v>
      </c>
      <c r="K1022" s="3">
        <v>4.05</v>
      </c>
      <c r="L1022" s="3">
        <v>2.5329999999999999</v>
      </c>
    </row>
    <row r="1023" spans="1:12" x14ac:dyDescent="0.3">
      <c r="A1023" s="2">
        <v>45988</v>
      </c>
      <c r="B1023" s="1">
        <v>6812.61</v>
      </c>
      <c r="C1023" s="1">
        <v>23214.69</v>
      </c>
      <c r="D1023">
        <v>138.6431</v>
      </c>
      <c r="E1023">
        <v>3986.91</v>
      </c>
      <c r="F1023">
        <v>880.06</v>
      </c>
      <c r="G1023">
        <v>80.895899999999997</v>
      </c>
      <c r="H1023">
        <v>94.874099999999999</v>
      </c>
      <c r="I1023" s="3">
        <v>2.5</v>
      </c>
      <c r="J1023" s="3">
        <v>2.5329999999999999</v>
      </c>
      <c r="K1023" s="3">
        <v>4.05</v>
      </c>
      <c r="L1023" s="3">
        <v>2.5129999999999999</v>
      </c>
    </row>
    <row r="1024" spans="1:12" x14ac:dyDescent="0.3">
      <c r="A1024" s="2">
        <v>45989</v>
      </c>
      <c r="B1024" s="1">
        <v>6849.09</v>
      </c>
      <c r="C1024" s="1">
        <v>23365.69</v>
      </c>
      <c r="D1024">
        <v>139.33260000000001</v>
      </c>
      <c r="E1024">
        <v>3926.59</v>
      </c>
      <c r="F1024">
        <v>912.67</v>
      </c>
      <c r="G1024">
        <v>80.895899999999997</v>
      </c>
      <c r="H1024">
        <v>94.7089</v>
      </c>
      <c r="I1024" s="3">
        <v>2.5</v>
      </c>
      <c r="J1024" s="3">
        <v>2.532</v>
      </c>
      <c r="K1024" s="3">
        <v>4.12</v>
      </c>
      <c r="L1024" s="3">
        <v>2.5139999999999998</v>
      </c>
    </row>
    <row r="1025" spans="1:12" x14ac:dyDescent="0.3">
      <c r="A1025" s="2">
        <v>45992</v>
      </c>
      <c r="B1025" s="1">
        <v>6812.63</v>
      </c>
      <c r="C1025" s="1">
        <v>23275.919999999998</v>
      </c>
      <c r="D1025">
        <v>138.71209999999999</v>
      </c>
      <c r="E1025">
        <v>3920.37</v>
      </c>
      <c r="F1025">
        <v>922.38</v>
      </c>
      <c r="G1025">
        <v>80.826300000000003</v>
      </c>
      <c r="H1025">
        <v>94.200800000000001</v>
      </c>
      <c r="I1025" s="3">
        <v>2.5</v>
      </c>
      <c r="J1025" s="3">
        <v>2.532</v>
      </c>
      <c r="K1025" s="3">
        <v>4.12</v>
      </c>
      <c r="L1025" s="3">
        <v>2.5110000000000001</v>
      </c>
    </row>
    <row r="1026" spans="1:12" x14ac:dyDescent="0.3">
      <c r="A1026" s="2">
        <v>45993</v>
      </c>
      <c r="B1026" s="1">
        <v>6829.37</v>
      </c>
      <c r="C1026" s="1">
        <v>23413.67</v>
      </c>
      <c r="D1026">
        <v>139.01740000000001</v>
      </c>
      <c r="E1026">
        <v>3994.93</v>
      </c>
      <c r="F1026">
        <v>928.42</v>
      </c>
      <c r="G1026">
        <v>80.875200000000007</v>
      </c>
      <c r="H1026">
        <v>94.278700000000001</v>
      </c>
      <c r="I1026" s="3">
        <v>2.5</v>
      </c>
      <c r="J1026" s="3">
        <v>2.5139999999999998</v>
      </c>
      <c r="K1026" s="3">
        <v>4.01</v>
      </c>
      <c r="L1026" s="3">
        <v>2.5070000000000001</v>
      </c>
    </row>
    <row r="1027" spans="1:12" x14ac:dyDescent="0.3">
      <c r="A1027" s="2">
        <v>45994</v>
      </c>
      <c r="B1027" s="1">
        <v>6849.72</v>
      </c>
      <c r="C1027" s="1">
        <v>23454.09</v>
      </c>
      <c r="D1027">
        <v>139.5394</v>
      </c>
      <c r="E1027">
        <v>4036.3</v>
      </c>
      <c r="F1027">
        <v>932.01</v>
      </c>
      <c r="G1027">
        <v>80.924000000000007</v>
      </c>
      <c r="H1027">
        <v>94.473600000000005</v>
      </c>
      <c r="I1027" s="3">
        <v>2.5</v>
      </c>
      <c r="J1027" s="3">
        <v>2.5049999999999999</v>
      </c>
      <c r="K1027" s="3">
        <v>3.95</v>
      </c>
      <c r="L1027" s="3">
        <v>2.5099999999999998</v>
      </c>
    </row>
    <row r="1028" spans="1:12" x14ac:dyDescent="0.3">
      <c r="A1028" s="2">
        <v>45995</v>
      </c>
      <c r="B1028" s="1">
        <v>6857.12</v>
      </c>
      <c r="C1028" s="1">
        <v>23505.14</v>
      </c>
      <c r="D1028">
        <v>139.82499999999999</v>
      </c>
      <c r="E1028">
        <v>4028.51</v>
      </c>
      <c r="F1028">
        <v>929.83</v>
      </c>
      <c r="G1028">
        <v>80.865399999999994</v>
      </c>
      <c r="H1028">
        <v>94.181299999999993</v>
      </c>
      <c r="I1028" s="3">
        <v>2.5</v>
      </c>
      <c r="J1028" s="3">
        <v>2.516</v>
      </c>
      <c r="K1028" s="3">
        <v>3.92</v>
      </c>
      <c r="L1028" s="3">
        <v>2.5219999999999998</v>
      </c>
    </row>
    <row r="1029" spans="1:12" x14ac:dyDescent="0.3">
      <c r="A1029" s="2">
        <v>45996</v>
      </c>
      <c r="B1029" s="1">
        <v>6870.4</v>
      </c>
      <c r="C1029" s="1">
        <v>23578.13</v>
      </c>
      <c r="D1029">
        <v>139.953</v>
      </c>
      <c r="E1029">
        <v>4100.05</v>
      </c>
      <c r="F1029">
        <v>924.74</v>
      </c>
      <c r="G1029">
        <v>80.836100000000002</v>
      </c>
      <c r="H1029">
        <v>93.986400000000003</v>
      </c>
      <c r="I1029" s="3">
        <v>2.5</v>
      </c>
      <c r="J1029" s="3">
        <v>2.5139999999999998</v>
      </c>
      <c r="K1029" s="3">
        <v>3.93</v>
      </c>
      <c r="L1029" s="3">
        <v>2.5139999999999998</v>
      </c>
    </row>
    <row r="1030" spans="1:12" x14ac:dyDescent="0.3">
      <c r="A1030" s="2">
        <v>45999</v>
      </c>
      <c r="B1030" s="1">
        <v>6846.51</v>
      </c>
      <c r="C1030" s="1">
        <v>23545.9</v>
      </c>
      <c r="D1030">
        <v>139.6182</v>
      </c>
      <c r="E1030">
        <v>4154.8500000000004</v>
      </c>
      <c r="F1030">
        <v>927.79</v>
      </c>
      <c r="G1030">
        <v>80.816599999999994</v>
      </c>
      <c r="H1030">
        <v>93.791600000000003</v>
      </c>
      <c r="I1030" s="3">
        <v>2.5</v>
      </c>
      <c r="J1030" s="3">
        <v>2.5339999999999998</v>
      </c>
      <c r="K1030" s="3">
        <v>3.95</v>
      </c>
      <c r="L1030" s="3">
        <v>2.52</v>
      </c>
    </row>
    <row r="1031" spans="1:12" x14ac:dyDescent="0.3">
      <c r="A1031" s="2">
        <v>46000</v>
      </c>
      <c r="B1031" s="1">
        <v>6840.51</v>
      </c>
      <c r="C1031" s="1">
        <v>23576.49</v>
      </c>
      <c r="D1031">
        <v>139.50980000000001</v>
      </c>
      <c r="E1031">
        <v>4143.55</v>
      </c>
      <c r="F1031">
        <v>931.35</v>
      </c>
      <c r="G1031">
        <v>80.777500000000003</v>
      </c>
      <c r="H1031">
        <v>93.655199999999994</v>
      </c>
      <c r="I1031" s="3">
        <v>2.5</v>
      </c>
      <c r="J1031" s="3">
        <v>2.57</v>
      </c>
      <c r="K1031" s="3">
        <v>3.93</v>
      </c>
      <c r="L1031" s="3">
        <v>2.5129999999999999</v>
      </c>
    </row>
    <row r="1032" spans="1:12" x14ac:dyDescent="0.3">
      <c r="A1032" s="2">
        <v>46001</v>
      </c>
      <c r="B1032" s="1">
        <v>6886.68</v>
      </c>
      <c r="C1032" s="1">
        <v>23654.15</v>
      </c>
      <c r="D1032">
        <v>140.64250000000001</v>
      </c>
      <c r="E1032">
        <v>4135</v>
      </c>
      <c r="F1032">
        <v>935</v>
      </c>
      <c r="G1032">
        <v>80.914199999999994</v>
      </c>
      <c r="H1032">
        <v>93.9572</v>
      </c>
      <c r="I1032" s="3">
        <v>2.5</v>
      </c>
      <c r="J1032" s="3">
        <v>2.569</v>
      </c>
      <c r="K1032" s="3">
        <v>3.9</v>
      </c>
      <c r="L1032" s="3">
        <v>2.4849999999999999</v>
      </c>
    </row>
    <row r="1033" spans="1:12" x14ac:dyDescent="0.3">
      <c r="A1033" s="2">
        <v>46002</v>
      </c>
      <c r="B1033" s="1">
        <v>6901</v>
      </c>
      <c r="C1033" s="1">
        <v>23593.86</v>
      </c>
      <c r="D1033">
        <v>141.01669999999999</v>
      </c>
      <c r="E1033">
        <v>4110.62</v>
      </c>
      <c r="F1033">
        <v>934.64</v>
      </c>
      <c r="G1033">
        <v>80.924000000000007</v>
      </c>
      <c r="H1033">
        <v>93.966999999999999</v>
      </c>
      <c r="I1033" s="3">
        <v>2.5</v>
      </c>
      <c r="J1033" s="3">
        <v>2.5529999999999999</v>
      </c>
      <c r="K1033" s="3">
        <v>3.66</v>
      </c>
      <c r="L1033" s="3">
        <v>2.5179999999999998</v>
      </c>
    </row>
    <row r="1034" spans="1:12" x14ac:dyDescent="0.3">
      <c r="A1034" s="2">
        <v>46003</v>
      </c>
      <c r="B1034" s="1">
        <v>6827.41</v>
      </c>
      <c r="C1034" s="1">
        <v>23195.17</v>
      </c>
      <c r="D1034">
        <v>139.62799999999999</v>
      </c>
      <c r="E1034">
        <v>4167.16</v>
      </c>
      <c r="F1034">
        <v>937.34</v>
      </c>
      <c r="G1034">
        <v>80.933800000000005</v>
      </c>
      <c r="H1034">
        <v>93.7136</v>
      </c>
      <c r="I1034" s="3">
        <v>2.5</v>
      </c>
      <c r="J1034" s="3">
        <v>2.552</v>
      </c>
      <c r="K1034" s="3">
        <v>3.67</v>
      </c>
      <c r="L1034" s="3">
        <v>2.5329999999999999</v>
      </c>
    </row>
    <row r="1035" spans="1:12" x14ac:dyDescent="0.3">
      <c r="A1035" s="2">
        <v>46006</v>
      </c>
      <c r="B1035" s="1">
        <v>6816.51</v>
      </c>
      <c r="C1035" s="1">
        <v>23057.41</v>
      </c>
      <c r="D1035">
        <v>139.6576</v>
      </c>
      <c r="E1035">
        <v>4090.59</v>
      </c>
      <c r="F1035">
        <v>938.83</v>
      </c>
      <c r="G1035">
        <v>80.982600000000005</v>
      </c>
      <c r="H1035">
        <v>93.791600000000003</v>
      </c>
      <c r="I1035" s="3">
        <v>2.5</v>
      </c>
      <c r="J1035" s="3">
        <v>2.5510000000000002</v>
      </c>
      <c r="K1035" s="3">
        <v>3.75</v>
      </c>
      <c r="L1035" s="3">
        <v>2.5310000000000001</v>
      </c>
    </row>
    <row r="1036" spans="1:12" x14ac:dyDescent="0.3">
      <c r="A1036" s="2">
        <v>46007</v>
      </c>
      <c r="B1036" s="1">
        <v>6800.26</v>
      </c>
      <c r="C1036" s="1">
        <v>23111.46</v>
      </c>
      <c r="D1036">
        <v>139.0866</v>
      </c>
      <c r="E1036">
        <v>3999.13</v>
      </c>
      <c r="F1036">
        <v>916.11</v>
      </c>
      <c r="G1036">
        <v>81.021699999999996</v>
      </c>
      <c r="H1036">
        <v>94.054599999999994</v>
      </c>
      <c r="I1036" s="3">
        <v>2.5</v>
      </c>
      <c r="J1036" s="3">
        <v>2.532</v>
      </c>
      <c r="K1036" s="3">
        <v>3.69</v>
      </c>
      <c r="L1036" s="3">
        <v>2.5179999999999998</v>
      </c>
    </row>
    <row r="1037" spans="1:12" x14ac:dyDescent="0.3">
      <c r="A1037" s="2">
        <v>46008</v>
      </c>
      <c r="B1037" s="1">
        <v>6721.43</v>
      </c>
      <c r="C1037" s="1">
        <v>22693.32</v>
      </c>
      <c r="D1037">
        <v>137.66589999999999</v>
      </c>
      <c r="E1037">
        <v>4056.41</v>
      </c>
      <c r="F1037">
        <v>911.07</v>
      </c>
      <c r="G1037">
        <v>81.031400000000005</v>
      </c>
      <c r="H1037">
        <v>94.035200000000003</v>
      </c>
      <c r="I1037" s="3">
        <v>2.5</v>
      </c>
      <c r="J1037" s="3">
        <v>2.532</v>
      </c>
      <c r="K1037" s="3">
        <v>3.69</v>
      </c>
      <c r="L1037" s="3">
        <v>2.5270000000000001</v>
      </c>
    </row>
    <row r="1038" spans="1:12" x14ac:dyDescent="0.3">
      <c r="A1038" s="2">
        <v>46009</v>
      </c>
      <c r="B1038" s="1">
        <v>6774.76</v>
      </c>
      <c r="C1038" s="1">
        <v>23006.36</v>
      </c>
      <c r="D1038">
        <v>138.80850000000001</v>
      </c>
      <c r="E1038">
        <v>3994.51</v>
      </c>
      <c r="F1038">
        <v>901.33</v>
      </c>
      <c r="G1038">
        <v>81.09</v>
      </c>
      <c r="H1038">
        <v>94.278700000000001</v>
      </c>
      <c r="I1038" s="3">
        <v>2.5</v>
      </c>
      <c r="J1038" s="3">
        <v>2.532</v>
      </c>
      <c r="K1038" s="3">
        <v>3.66</v>
      </c>
      <c r="L1038" s="3">
        <v>2.5289999999999999</v>
      </c>
    </row>
    <row r="1039" spans="1:12" x14ac:dyDescent="0.3">
      <c r="A1039" s="2">
        <v>46010</v>
      </c>
      <c r="B1039" s="1">
        <v>6834.5</v>
      </c>
      <c r="C1039" s="1">
        <v>23307.62</v>
      </c>
      <c r="D1039">
        <v>140.00069999999999</v>
      </c>
      <c r="E1039">
        <v>4020.55</v>
      </c>
      <c r="F1039">
        <v>915.27</v>
      </c>
      <c r="G1039">
        <v>81.075199999999995</v>
      </c>
      <c r="H1039">
        <v>94.066400000000002</v>
      </c>
      <c r="I1039" s="3">
        <v>2.5</v>
      </c>
      <c r="J1039" s="3">
        <v>2.5419999999999998</v>
      </c>
      <c r="K1039" s="3">
        <v>3.66</v>
      </c>
      <c r="L1039" s="3">
        <v>2.5390000000000001</v>
      </c>
    </row>
    <row r="1040" spans="1:12" x14ac:dyDescent="0.3">
      <c r="A1040" s="2">
        <v>46013</v>
      </c>
      <c r="B1040" s="1">
        <v>6878.49</v>
      </c>
      <c r="C1040" s="1">
        <v>23428.83</v>
      </c>
      <c r="D1040">
        <v>140.8254</v>
      </c>
      <c r="E1040">
        <v>4105.93</v>
      </c>
      <c r="F1040">
        <v>929.14</v>
      </c>
      <c r="G1040">
        <v>81.036000000000001</v>
      </c>
      <c r="H1040">
        <v>93.968599999999995</v>
      </c>
      <c r="I1040" s="3">
        <v>2.5</v>
      </c>
      <c r="J1040" s="3">
        <v>2.5619999999999998</v>
      </c>
      <c r="K1040" s="3">
        <v>3.68</v>
      </c>
      <c r="L1040" s="3">
        <v>2.5550000000000002</v>
      </c>
    </row>
    <row r="1041" spans="1:12" x14ac:dyDescent="0.3">
      <c r="A1041" s="2">
        <v>46014</v>
      </c>
      <c r="B1041" s="1">
        <v>6909.79</v>
      </c>
      <c r="C1041" s="1">
        <v>23561.84</v>
      </c>
      <c r="D1041">
        <v>141.54069999999999</v>
      </c>
      <c r="E1041">
        <v>4117.32</v>
      </c>
      <c r="F1041">
        <v>919.56</v>
      </c>
      <c r="G1041">
        <v>80.996799999999993</v>
      </c>
      <c r="H1041">
        <v>93.929500000000004</v>
      </c>
      <c r="I1041" s="3">
        <v>2.5</v>
      </c>
      <c r="J1041" s="3">
        <v>2.5630000000000002</v>
      </c>
      <c r="K1041" s="3">
        <v>3.66</v>
      </c>
      <c r="L1041" s="3">
        <v>2.5470000000000002</v>
      </c>
    </row>
    <row r="1042" spans="1:12" x14ac:dyDescent="0.3">
      <c r="A1042" s="2">
        <v>46015</v>
      </c>
      <c r="B1042" s="1">
        <v>6932.05</v>
      </c>
      <c r="C1042" s="1">
        <v>23613.31</v>
      </c>
      <c r="D1042">
        <v>141.78909999999999</v>
      </c>
      <c r="E1042">
        <v>4108.62</v>
      </c>
      <c r="F1042">
        <v>915.2</v>
      </c>
      <c r="G1042">
        <v>81.0458</v>
      </c>
      <c r="H1042">
        <v>94.173900000000003</v>
      </c>
      <c r="I1042" s="3">
        <v>2.5</v>
      </c>
      <c r="J1042" s="3">
        <v>2.5529999999999999</v>
      </c>
      <c r="K1042" s="3">
        <v>3.66</v>
      </c>
      <c r="L1042" s="3">
        <v>2.5430000000000001</v>
      </c>
    </row>
    <row r="1043" spans="1:12" x14ac:dyDescent="0.3">
      <c r="A1043" s="2">
        <v>46016</v>
      </c>
      <c r="B1043" s="1">
        <v>6932.05</v>
      </c>
      <c r="C1043" s="1">
        <v>23613.31</v>
      </c>
      <c r="D1043">
        <v>141.78909999999999</v>
      </c>
      <c r="E1043">
        <v>4108.62</v>
      </c>
      <c r="F1043">
        <v>915.2</v>
      </c>
      <c r="G1043">
        <v>81.0458</v>
      </c>
      <c r="H1043">
        <v>94.173900000000003</v>
      </c>
      <c r="I1043" s="3">
        <v>2.5</v>
      </c>
      <c r="J1043" s="3">
        <v>2.5529999999999999</v>
      </c>
      <c r="K1043" s="3">
        <v>3.66</v>
      </c>
      <c r="L1043" s="3">
        <v>2.5</v>
      </c>
    </row>
    <row r="1044" spans="1:12" x14ac:dyDescent="0.3">
      <c r="A1044" s="2">
        <v>46017</v>
      </c>
      <c r="B1044" s="1">
        <v>6929.94</v>
      </c>
      <c r="C1044" s="1">
        <v>23593.1</v>
      </c>
      <c r="D1044">
        <v>141.97790000000001</v>
      </c>
      <c r="E1044">
        <v>4129.68</v>
      </c>
      <c r="F1044">
        <v>919.67</v>
      </c>
      <c r="G1044">
        <v>81.104500000000002</v>
      </c>
      <c r="H1044">
        <v>94.261899999999997</v>
      </c>
      <c r="I1044" s="3">
        <v>2.5</v>
      </c>
      <c r="J1044" s="3">
        <v>2.5630000000000002</v>
      </c>
      <c r="K1044" s="3">
        <v>3.76</v>
      </c>
      <c r="L1044" s="3">
        <v>2.5529999999999999</v>
      </c>
    </row>
    <row r="1045" spans="1:12" x14ac:dyDescent="0.3">
      <c r="A1045" s="2">
        <v>46020</v>
      </c>
      <c r="B1045" s="1">
        <v>6905.74</v>
      </c>
      <c r="C1045" s="1">
        <v>23474.35</v>
      </c>
      <c r="D1045">
        <v>141.49100000000001</v>
      </c>
      <c r="E1045">
        <v>4220.5600000000004</v>
      </c>
      <c r="F1045">
        <v>932.59</v>
      </c>
      <c r="G1045">
        <v>81.143699999999995</v>
      </c>
      <c r="H1045">
        <v>94.398700000000005</v>
      </c>
      <c r="I1045" s="3">
        <v>2.5</v>
      </c>
      <c r="J1045" s="3">
        <v>2.5630000000000002</v>
      </c>
      <c r="K1045" s="3">
        <v>3.77</v>
      </c>
      <c r="L1045" s="3">
        <v>2.5219999999999998</v>
      </c>
    </row>
    <row r="1046" spans="1:12" x14ac:dyDescent="0.3">
      <c r="A1046" s="2">
        <v>46021</v>
      </c>
      <c r="B1046" s="1">
        <v>6896.24</v>
      </c>
      <c r="C1046" s="1">
        <v>23419.08</v>
      </c>
      <c r="D1046">
        <v>141.49100000000001</v>
      </c>
      <c r="E1046">
        <v>4214.17</v>
      </c>
      <c r="F1046">
        <v>925.47</v>
      </c>
      <c r="G1046">
        <v>81.163300000000007</v>
      </c>
      <c r="H1046">
        <v>94.301000000000002</v>
      </c>
      <c r="I1046" s="3">
        <v>2.5</v>
      </c>
      <c r="J1046" s="3">
        <v>2.5619999999999998</v>
      </c>
      <c r="K1046" s="3">
        <v>3.71</v>
      </c>
      <c r="L1046" s="3">
        <v>2.54</v>
      </c>
    </row>
    <row r="1047" spans="1:12" x14ac:dyDescent="0.3">
      <c r="A1047" s="2">
        <v>46022</v>
      </c>
      <c r="B1047" s="1">
        <v>6845.5</v>
      </c>
      <c r="C1047" s="1">
        <v>23241.99</v>
      </c>
      <c r="D1047">
        <v>140.577</v>
      </c>
      <c r="E1047">
        <v>4214.17</v>
      </c>
      <c r="F1047">
        <v>925.47</v>
      </c>
      <c r="G1047">
        <v>81.133899999999997</v>
      </c>
      <c r="H1047">
        <v>93.988200000000006</v>
      </c>
      <c r="I1047" s="3">
        <v>2.5</v>
      </c>
      <c r="J1047" s="3">
        <v>2.6869999999999998</v>
      </c>
      <c r="K1047" s="3">
        <v>3.87</v>
      </c>
      <c r="L1047" s="3">
        <v>2.625</v>
      </c>
    </row>
    <row r="1048" spans="1:12" x14ac:dyDescent="0.3">
      <c r="A1048" s="2">
        <v>46023</v>
      </c>
      <c r="B1048" s="1">
        <v>6845.5</v>
      </c>
      <c r="C1048" s="1">
        <v>23241.99</v>
      </c>
      <c r="D1048">
        <v>140.577</v>
      </c>
      <c r="E1048">
        <v>4214.17</v>
      </c>
      <c r="F1048">
        <v>925.47</v>
      </c>
      <c r="G1048">
        <v>81.133899999999997</v>
      </c>
      <c r="H1048">
        <v>93.988200000000006</v>
      </c>
      <c r="I1048" s="3">
        <v>2.5</v>
      </c>
      <c r="J1048" s="3">
        <v>2.6869999999999998</v>
      </c>
      <c r="K1048" s="3">
        <v>3.87</v>
      </c>
      <c r="L1048" s="3">
        <v>2.5</v>
      </c>
    </row>
    <row r="1049" spans="1:12" x14ac:dyDescent="0.3">
      <c r="A1049" s="2">
        <v>46024</v>
      </c>
      <c r="B1049" s="1">
        <v>6858.47</v>
      </c>
      <c r="C1049" s="1">
        <v>23235.63</v>
      </c>
      <c r="D1049">
        <v>141.57050000000001</v>
      </c>
      <c r="E1049">
        <v>4309.63</v>
      </c>
      <c r="F1049">
        <v>945.57</v>
      </c>
      <c r="G1049">
        <v>81.173100000000005</v>
      </c>
      <c r="H1049">
        <v>93.91</v>
      </c>
      <c r="I1049" s="3">
        <v>2.5</v>
      </c>
      <c r="J1049" s="3">
        <v>2.5430000000000001</v>
      </c>
      <c r="K1049" s="3">
        <v>3.75</v>
      </c>
      <c r="L1049" s="3">
        <v>2.5169999999999999</v>
      </c>
    </row>
    <row r="1050" spans="1:12" x14ac:dyDescent="0.3">
      <c r="A1050" s="2">
        <v>46027</v>
      </c>
      <c r="B1050" s="1">
        <v>6902.05</v>
      </c>
      <c r="C1050" s="1">
        <v>23395.82</v>
      </c>
      <c r="D1050">
        <v>142.75280000000001</v>
      </c>
      <c r="E1050">
        <v>4457.5200000000004</v>
      </c>
      <c r="F1050">
        <v>957.5</v>
      </c>
      <c r="G1050">
        <v>81.202500000000001</v>
      </c>
      <c r="H1050">
        <v>94.193399999999997</v>
      </c>
      <c r="I1050" s="3">
        <v>2.5</v>
      </c>
      <c r="J1050" s="3">
        <v>2.5219999999999998</v>
      </c>
      <c r="K1050" s="3">
        <v>3.7</v>
      </c>
      <c r="L1050" s="3">
        <v>2.5099999999999998</v>
      </c>
    </row>
    <row r="1051" spans="1:12" x14ac:dyDescent="0.3">
      <c r="A1051" s="2">
        <v>46028</v>
      </c>
      <c r="B1051" s="1">
        <v>6944.82</v>
      </c>
      <c r="C1051" s="1">
        <v>23547.17</v>
      </c>
      <c r="D1051">
        <v>143.41849999999999</v>
      </c>
      <c r="E1051">
        <v>4525.4799999999996</v>
      </c>
      <c r="F1051">
        <v>955.97</v>
      </c>
      <c r="G1051">
        <v>81.212299999999999</v>
      </c>
      <c r="H1051">
        <v>94.125</v>
      </c>
      <c r="I1051" s="3">
        <v>2.5</v>
      </c>
      <c r="J1051" s="3">
        <v>2.532</v>
      </c>
      <c r="K1051" s="3">
        <v>3.66</v>
      </c>
      <c r="L1051" s="3">
        <v>2.4430000000000001</v>
      </c>
    </row>
    <row r="1052" spans="1:12" x14ac:dyDescent="0.3">
      <c r="A1052" s="2">
        <v>46029</v>
      </c>
      <c r="B1052" s="1">
        <v>6920.93</v>
      </c>
      <c r="C1052" s="1">
        <v>23584.28</v>
      </c>
      <c r="D1052">
        <v>142.88200000000001</v>
      </c>
      <c r="E1052">
        <v>4551.0600000000004</v>
      </c>
      <c r="F1052">
        <v>947.39</v>
      </c>
      <c r="G1052">
        <v>81.202500000000001</v>
      </c>
      <c r="H1052">
        <v>94.301000000000002</v>
      </c>
      <c r="I1052" s="3">
        <v>2.5</v>
      </c>
      <c r="J1052" s="3">
        <v>2.532</v>
      </c>
      <c r="K1052" s="3">
        <v>3.65</v>
      </c>
      <c r="L1052" s="3">
        <v>2.4969999999999999</v>
      </c>
    </row>
    <row r="1053" spans="1:12" x14ac:dyDescent="0.3">
      <c r="A1053" s="2">
        <v>46030</v>
      </c>
      <c r="B1053" s="1">
        <v>6921.46</v>
      </c>
      <c r="C1053" s="1">
        <v>23480.02</v>
      </c>
      <c r="D1053">
        <v>142.84229999999999</v>
      </c>
      <c r="E1053">
        <v>4552.37</v>
      </c>
      <c r="F1053">
        <v>944.06</v>
      </c>
      <c r="G1053">
        <v>81.173100000000005</v>
      </c>
      <c r="H1053">
        <v>94.017499999999998</v>
      </c>
      <c r="I1053" s="3">
        <v>2.5</v>
      </c>
      <c r="J1053" s="3">
        <v>2.544</v>
      </c>
      <c r="K1053" s="3">
        <v>3.64</v>
      </c>
      <c r="L1053" s="3">
        <v>2.544</v>
      </c>
    </row>
    <row r="1054" spans="1:12" x14ac:dyDescent="0.3">
      <c r="A1054" s="2">
        <v>46031</v>
      </c>
      <c r="B1054" s="1">
        <v>6966.28</v>
      </c>
      <c r="C1054" s="1">
        <v>23671.35</v>
      </c>
      <c r="D1054">
        <v>143.8159</v>
      </c>
      <c r="E1054">
        <v>4586.32</v>
      </c>
      <c r="F1054">
        <v>947.92</v>
      </c>
      <c r="G1054">
        <v>81.143699999999995</v>
      </c>
      <c r="H1054">
        <v>94.125</v>
      </c>
      <c r="I1054" s="3">
        <v>2.5</v>
      </c>
      <c r="J1054" s="3">
        <v>2.5710000000000002</v>
      </c>
      <c r="K1054" s="3">
        <v>3.64</v>
      </c>
      <c r="L1054" s="3">
        <v>2.5670000000000002</v>
      </c>
    </row>
    <row r="1055" spans="1:12" x14ac:dyDescent="0.3">
      <c r="A1055" s="2">
        <v>46034</v>
      </c>
      <c r="B1055" s="1">
        <v>6977.27</v>
      </c>
      <c r="C1055" s="1">
        <v>23733.9</v>
      </c>
      <c r="D1055">
        <v>144.4419</v>
      </c>
      <c r="E1055">
        <v>4624.79</v>
      </c>
      <c r="F1055">
        <v>949.81</v>
      </c>
      <c r="G1055">
        <v>81.143699999999995</v>
      </c>
      <c r="H1055">
        <v>94.0077</v>
      </c>
      <c r="I1055" s="3">
        <v>2.5</v>
      </c>
      <c r="J1055" s="3">
        <v>2.581</v>
      </c>
      <c r="K1055" s="3">
        <v>3.64</v>
      </c>
      <c r="L1055" s="3">
        <v>2.57</v>
      </c>
    </row>
    <row r="1056" spans="1:12" x14ac:dyDescent="0.3">
      <c r="A1056" s="2">
        <v>46035</v>
      </c>
      <c r="B1056" s="1">
        <v>6963.74</v>
      </c>
      <c r="C1056" s="1">
        <v>23709.87</v>
      </c>
      <c r="D1056">
        <v>143.95500000000001</v>
      </c>
      <c r="E1056">
        <v>4692.6400000000003</v>
      </c>
      <c r="F1056">
        <v>948.98</v>
      </c>
      <c r="G1056">
        <v>81.163300000000007</v>
      </c>
      <c r="H1056">
        <v>94.125</v>
      </c>
      <c r="I1056" s="3">
        <v>2.5</v>
      </c>
      <c r="J1056" s="3">
        <v>2.58</v>
      </c>
      <c r="K1056" s="3">
        <v>3.65</v>
      </c>
      <c r="L1056" s="3">
        <v>2.5590000000000002</v>
      </c>
    </row>
    <row r="1057" spans="1:12" x14ac:dyDescent="0.3">
      <c r="A1057" s="2">
        <v>46036</v>
      </c>
      <c r="B1057" s="1">
        <v>6926.6</v>
      </c>
      <c r="C1057" s="1">
        <v>23471.75</v>
      </c>
      <c r="D1057">
        <v>143.77619999999999</v>
      </c>
      <c r="E1057">
        <v>4723.1000000000004</v>
      </c>
      <c r="F1057">
        <v>942.18</v>
      </c>
      <c r="G1057">
        <v>81.182900000000004</v>
      </c>
      <c r="H1057">
        <v>94.320499999999996</v>
      </c>
      <c r="I1057" s="3">
        <v>2.5</v>
      </c>
      <c r="J1057" s="3">
        <v>2.589</v>
      </c>
      <c r="K1057" s="3">
        <v>3.64</v>
      </c>
      <c r="L1057" s="3">
        <v>2.5649999999999999</v>
      </c>
    </row>
    <row r="1058" spans="1:12" x14ac:dyDescent="0.3">
      <c r="A1058" s="2">
        <v>46037</v>
      </c>
      <c r="B1058" s="1">
        <v>6944.47</v>
      </c>
      <c r="C1058" s="1">
        <v>23530.02</v>
      </c>
      <c r="D1058">
        <v>144.0643</v>
      </c>
      <c r="E1058">
        <v>4797.55</v>
      </c>
      <c r="F1058">
        <v>951.16</v>
      </c>
      <c r="G1058">
        <v>81.124099999999999</v>
      </c>
      <c r="H1058">
        <v>94.125</v>
      </c>
      <c r="I1058" s="3">
        <v>2.5</v>
      </c>
      <c r="J1058" s="3">
        <v>2.5670000000000002</v>
      </c>
      <c r="K1058" s="3">
        <v>3.66</v>
      </c>
      <c r="L1058" s="3">
        <v>2.5350000000000001</v>
      </c>
    </row>
    <row r="1059" spans="1:12" x14ac:dyDescent="0.3">
      <c r="A1059" s="2">
        <v>46038</v>
      </c>
      <c r="B1059" s="1">
        <v>6940.01</v>
      </c>
      <c r="C1059" s="1">
        <v>23515.39</v>
      </c>
      <c r="D1059">
        <v>144.0643</v>
      </c>
      <c r="E1059">
        <v>4840.74</v>
      </c>
      <c r="F1059">
        <v>954.59</v>
      </c>
      <c r="G1059">
        <v>81.104500000000002</v>
      </c>
      <c r="H1059">
        <v>93.763400000000004</v>
      </c>
      <c r="I1059" s="3">
        <v>2.5</v>
      </c>
      <c r="J1059" s="3">
        <v>2.5569999999999999</v>
      </c>
      <c r="K1059" s="3">
        <v>3.65</v>
      </c>
      <c r="L1059" s="3">
        <v>2.5259999999999998</v>
      </c>
    </row>
    <row r="1060" spans="1:12" x14ac:dyDescent="0.3">
      <c r="A1060" s="2">
        <v>46041</v>
      </c>
      <c r="B1060" s="1">
        <v>6940.01</v>
      </c>
      <c r="C1060" s="1">
        <v>23515.39</v>
      </c>
      <c r="D1060">
        <v>144.0643</v>
      </c>
      <c r="E1060">
        <v>4904.66</v>
      </c>
      <c r="F1060">
        <v>968.36</v>
      </c>
      <c r="G1060">
        <v>81.104500000000002</v>
      </c>
      <c r="H1060">
        <v>93.763400000000004</v>
      </c>
      <c r="I1060" s="3">
        <v>2.5</v>
      </c>
      <c r="J1060" s="3">
        <v>2.548</v>
      </c>
      <c r="K1060" s="3">
        <v>3.65</v>
      </c>
      <c r="L1060" s="3">
        <v>2.5299999999999998</v>
      </c>
    </row>
    <row r="1061" spans="1:12" x14ac:dyDescent="0.3">
      <c r="A1061" s="2">
        <v>46042</v>
      </c>
      <c r="B1061" s="1">
        <v>6796.86</v>
      </c>
      <c r="C1061" s="1">
        <v>22954.32</v>
      </c>
      <c r="D1061">
        <v>141.44139999999999</v>
      </c>
      <c r="E1061">
        <v>4885.75</v>
      </c>
      <c r="F1061">
        <v>976.37</v>
      </c>
      <c r="G1061">
        <v>81.1143</v>
      </c>
      <c r="H1061">
        <v>93.391999999999996</v>
      </c>
      <c r="I1061" s="3">
        <v>2.5</v>
      </c>
      <c r="J1061" s="3">
        <v>2.5489999999999999</v>
      </c>
      <c r="K1061" s="3">
        <v>3.64</v>
      </c>
      <c r="L1061" s="3">
        <v>2.528</v>
      </c>
    </row>
    <row r="1062" spans="1:12" x14ac:dyDescent="0.3">
      <c r="A1062" s="2">
        <v>46043</v>
      </c>
      <c r="B1062" s="1">
        <v>6875.62</v>
      </c>
      <c r="C1062" s="1">
        <v>23224.82</v>
      </c>
      <c r="D1062">
        <v>143.08070000000001</v>
      </c>
      <c r="E1062">
        <v>4909.93</v>
      </c>
      <c r="F1062">
        <v>951.29</v>
      </c>
      <c r="G1062">
        <v>81.153499999999994</v>
      </c>
      <c r="H1062">
        <v>93.636300000000006</v>
      </c>
      <c r="I1062" s="3">
        <v>2.5</v>
      </c>
      <c r="J1062" s="3">
        <v>2.5590000000000002</v>
      </c>
      <c r="K1062" s="3">
        <v>3.63</v>
      </c>
      <c r="L1062" s="3">
        <v>2.5379999999999998</v>
      </c>
    </row>
    <row r="1063" spans="1:12" x14ac:dyDescent="0.3">
      <c r="A1063" s="2">
        <v>46044</v>
      </c>
      <c r="B1063" s="1">
        <v>6913.35</v>
      </c>
      <c r="C1063" s="1">
        <v>23436.02</v>
      </c>
      <c r="D1063">
        <v>143.87549999999999</v>
      </c>
      <c r="E1063">
        <v>4952.53</v>
      </c>
      <c r="F1063">
        <v>970.35</v>
      </c>
      <c r="G1063">
        <v>81.124099999999999</v>
      </c>
      <c r="H1063">
        <v>93.626499999999993</v>
      </c>
      <c r="I1063" s="3">
        <v>2.5</v>
      </c>
      <c r="J1063" s="3">
        <v>2.532</v>
      </c>
      <c r="K1063" s="3">
        <v>3.64</v>
      </c>
      <c r="L1063" s="3">
        <v>2.524</v>
      </c>
    </row>
    <row r="1064" spans="1:12" x14ac:dyDescent="0.3">
      <c r="A1064" s="2">
        <v>46045</v>
      </c>
      <c r="B1064" s="1">
        <v>6915.61</v>
      </c>
      <c r="C1064" s="1">
        <v>23501.24</v>
      </c>
      <c r="D1064">
        <v>144.22329999999999</v>
      </c>
      <c r="E1064">
        <v>4990.07</v>
      </c>
      <c r="F1064">
        <v>993.93</v>
      </c>
      <c r="G1064">
        <v>81.153499999999994</v>
      </c>
      <c r="H1064">
        <v>93.782899999999998</v>
      </c>
      <c r="I1064" s="3">
        <v>2.5</v>
      </c>
      <c r="J1064" s="3">
        <v>2.57</v>
      </c>
      <c r="K1064" s="3">
        <v>3.65</v>
      </c>
      <c r="L1064" s="3">
        <v>2.54</v>
      </c>
    </row>
    <row r="1065" spans="1:12" x14ac:dyDescent="0.3">
      <c r="A1065" s="2">
        <v>46048</v>
      </c>
      <c r="B1065" s="1">
        <v>6950.23</v>
      </c>
      <c r="C1065" s="1">
        <v>23601.360000000001</v>
      </c>
      <c r="D1065">
        <v>144.77969999999999</v>
      </c>
      <c r="E1065">
        <v>4949.59</v>
      </c>
      <c r="F1065">
        <v>1064.4100000000001</v>
      </c>
      <c r="G1065">
        <v>81.182900000000004</v>
      </c>
      <c r="H1065">
        <v>93.919799999999995</v>
      </c>
      <c r="I1065" s="3">
        <v>2.5</v>
      </c>
      <c r="J1065" s="3">
        <v>2.5779999999999998</v>
      </c>
      <c r="K1065" s="3">
        <v>3.66</v>
      </c>
      <c r="L1065" s="3">
        <v>2.516</v>
      </c>
    </row>
    <row r="1066" spans="1:12" x14ac:dyDescent="0.3">
      <c r="A1066" s="2">
        <v>46049</v>
      </c>
      <c r="B1066" s="1">
        <v>6978.6</v>
      </c>
      <c r="C1066" s="1">
        <v>23817.1</v>
      </c>
      <c r="D1066">
        <v>146.11099999999999</v>
      </c>
      <c r="E1066">
        <v>5084.8500000000004</v>
      </c>
      <c r="F1066">
        <v>1082.5899999999999</v>
      </c>
      <c r="G1066">
        <v>81.202500000000001</v>
      </c>
      <c r="H1066">
        <v>93.812299999999993</v>
      </c>
      <c r="I1066" s="3">
        <v>2.5</v>
      </c>
      <c r="J1066" s="3">
        <v>2.5470000000000002</v>
      </c>
      <c r="K1066" s="3">
        <v>3.66</v>
      </c>
      <c r="L1066" s="3">
        <v>2.5139999999999998</v>
      </c>
    </row>
    <row r="1067" spans="1:12" x14ac:dyDescent="0.3">
      <c r="A1067" s="2">
        <v>46050</v>
      </c>
      <c r="B1067" s="1">
        <v>6978.03</v>
      </c>
      <c r="C1067" s="1">
        <v>23857.45</v>
      </c>
      <c r="D1067">
        <v>145.89240000000001</v>
      </c>
      <c r="E1067">
        <v>5170.8100000000004</v>
      </c>
      <c r="F1067">
        <v>1133.52</v>
      </c>
      <c r="G1067">
        <v>81.202500000000001</v>
      </c>
      <c r="H1067">
        <v>93.734099999999998</v>
      </c>
      <c r="I1067" s="3">
        <v>2.5</v>
      </c>
      <c r="J1067" s="3">
        <v>2.496</v>
      </c>
      <c r="K1067" s="3">
        <v>3.64</v>
      </c>
      <c r="L1067" s="3">
        <v>2.4990000000000001</v>
      </c>
    </row>
    <row r="1068" spans="1:12" x14ac:dyDescent="0.3">
      <c r="A1068" s="2">
        <v>46051</v>
      </c>
      <c r="B1068" s="1">
        <v>6969.01</v>
      </c>
      <c r="C1068" s="1">
        <v>23685.119999999999</v>
      </c>
      <c r="D1068">
        <v>145.7533</v>
      </c>
      <c r="E1068">
        <v>5221.25</v>
      </c>
      <c r="F1068">
        <v>1164.4100000000001</v>
      </c>
      <c r="G1068">
        <v>81.231899999999996</v>
      </c>
      <c r="H1068">
        <v>93.831800000000001</v>
      </c>
      <c r="I1068" s="3">
        <v>2.5</v>
      </c>
      <c r="J1068" s="3">
        <v>2.5129999999999999</v>
      </c>
      <c r="K1068" s="3">
        <v>3.65</v>
      </c>
      <c r="L1068" s="3">
        <v>2.5230000000000001</v>
      </c>
    </row>
    <row r="1069" spans="1:12" x14ac:dyDescent="0.3">
      <c r="A1069" s="2">
        <v>46052</v>
      </c>
      <c r="B1069" s="1">
        <v>6939.03</v>
      </c>
      <c r="C1069" s="1">
        <v>23461.82</v>
      </c>
      <c r="D1069">
        <v>144.56110000000001</v>
      </c>
      <c r="E1069">
        <v>5224.3599999999997</v>
      </c>
      <c r="F1069">
        <v>1149.44</v>
      </c>
      <c r="G1069">
        <v>81.3005</v>
      </c>
      <c r="H1069">
        <v>93.773200000000003</v>
      </c>
      <c r="I1069" s="3">
        <v>2.5</v>
      </c>
      <c r="J1069" s="3">
        <v>2.552</v>
      </c>
      <c r="K1069" s="3">
        <v>3.68</v>
      </c>
      <c r="L1069" s="3">
        <v>2.5459999999999998</v>
      </c>
    </row>
    <row r="1070" spans="1:12" x14ac:dyDescent="0.3">
      <c r="A1070" s="2">
        <v>46055</v>
      </c>
      <c r="B1070" s="1">
        <v>6976.44</v>
      </c>
      <c r="C1070" s="1">
        <v>23592.11</v>
      </c>
      <c r="D1070">
        <v>145.36590000000001</v>
      </c>
      <c r="E1070">
        <v>4949.67</v>
      </c>
      <c r="F1070">
        <v>1098.3599999999999</v>
      </c>
      <c r="G1070">
        <v>81.261099999999999</v>
      </c>
      <c r="H1070">
        <v>93.588800000000006</v>
      </c>
      <c r="I1070" s="3">
        <v>2.5</v>
      </c>
      <c r="J1070" s="3">
        <v>2.56</v>
      </c>
      <c r="K1070" s="3">
        <v>3.69</v>
      </c>
      <c r="L1070" s="3">
        <v>2.5470000000000002</v>
      </c>
    </row>
    <row r="1071" spans="1:12" x14ac:dyDescent="0.3">
      <c r="A1071" s="2">
        <v>46056</v>
      </c>
      <c r="B1071" s="1">
        <v>6917.81</v>
      </c>
      <c r="C1071" s="1">
        <v>23255.19</v>
      </c>
      <c r="D1071">
        <v>144.60079999999999</v>
      </c>
      <c r="E1071">
        <v>5288.08</v>
      </c>
      <c r="F1071">
        <v>1144.33</v>
      </c>
      <c r="G1071">
        <v>81.251300000000001</v>
      </c>
      <c r="H1071">
        <v>93.677099999999996</v>
      </c>
      <c r="I1071" s="3">
        <v>2.5</v>
      </c>
      <c r="J1071" s="3">
        <v>2.54</v>
      </c>
      <c r="K1071" s="3">
        <v>3.69</v>
      </c>
      <c r="L1071" s="3">
        <v>2.536</v>
      </c>
    </row>
    <row r="1072" spans="1:12" x14ac:dyDescent="0.3">
      <c r="A1072" s="2">
        <v>46057</v>
      </c>
      <c r="B1072" s="1">
        <v>6882.72</v>
      </c>
      <c r="C1072" s="1">
        <v>22904.58</v>
      </c>
      <c r="D1072">
        <v>144.05439999999999</v>
      </c>
      <c r="E1072">
        <v>5371.1</v>
      </c>
      <c r="F1072">
        <v>1149.43</v>
      </c>
      <c r="G1072">
        <v>81.290599999999998</v>
      </c>
      <c r="H1072">
        <v>93.657399999999996</v>
      </c>
      <c r="I1072" s="3">
        <v>2.5</v>
      </c>
      <c r="J1072" s="3">
        <v>2.54</v>
      </c>
      <c r="K1072" s="3">
        <v>3.65</v>
      </c>
      <c r="L1072" s="3">
        <v>2.5259999999999998</v>
      </c>
    </row>
    <row r="1073" spans="1:12" x14ac:dyDescent="0.3">
      <c r="A1073" s="2">
        <v>46058</v>
      </c>
      <c r="B1073" s="1">
        <v>6798.4</v>
      </c>
      <c r="C1073" s="1">
        <v>22540.59</v>
      </c>
      <c r="D1073">
        <v>142.2859</v>
      </c>
      <c r="E1073">
        <v>5163.57</v>
      </c>
      <c r="F1073">
        <v>1108.4100000000001</v>
      </c>
      <c r="G1073">
        <v>81.418400000000005</v>
      </c>
      <c r="H1073">
        <v>94.206599999999995</v>
      </c>
      <c r="I1073" s="3">
        <v>2.5</v>
      </c>
      <c r="J1073" s="3">
        <v>2.5499999999999998</v>
      </c>
      <c r="K1073" s="3">
        <v>3.65</v>
      </c>
      <c r="L1073" s="3">
        <v>2.5350000000000001</v>
      </c>
    </row>
    <row r="1074" spans="1:12" x14ac:dyDescent="0.3">
      <c r="A1074" s="2">
        <v>46059</v>
      </c>
      <c r="B1074" s="1">
        <v>6932.3</v>
      </c>
      <c r="C1074" s="1">
        <v>23031.21</v>
      </c>
      <c r="D1074">
        <v>145.33609999999999</v>
      </c>
      <c r="E1074">
        <v>5089.1400000000003</v>
      </c>
      <c r="F1074">
        <v>1080.77</v>
      </c>
      <c r="G1074">
        <v>81.418400000000005</v>
      </c>
      <c r="H1074">
        <v>94.206599999999995</v>
      </c>
      <c r="I1074" s="3">
        <v>2.5</v>
      </c>
      <c r="J1074" s="3">
        <v>2.5499999999999998</v>
      </c>
      <c r="K1074" s="3">
        <v>3.64</v>
      </c>
      <c r="L1074" s="3">
        <v>2.5139999999999998</v>
      </c>
    </row>
    <row r="1075" spans="1:12" x14ac:dyDescent="0.3">
      <c r="A1075" s="2">
        <v>46062</v>
      </c>
      <c r="B1075" s="1">
        <v>6964.82</v>
      </c>
      <c r="C1075" s="1">
        <v>23238.67</v>
      </c>
      <c r="D1075">
        <v>146.4588</v>
      </c>
      <c r="E1075">
        <v>5298.04</v>
      </c>
      <c r="F1075">
        <v>1127.55</v>
      </c>
      <c r="G1075">
        <v>81.438000000000002</v>
      </c>
      <c r="H1075">
        <v>94.226200000000006</v>
      </c>
      <c r="I1075" s="3">
        <v>2.5</v>
      </c>
      <c r="J1075" s="3">
        <v>2.5499999999999998</v>
      </c>
      <c r="K1075" s="3">
        <v>3.63</v>
      </c>
      <c r="L1075" s="3">
        <v>2.5329999999999999</v>
      </c>
    </row>
    <row r="1076" spans="1:12" x14ac:dyDescent="0.3">
      <c r="A1076" s="2">
        <v>46063</v>
      </c>
      <c r="B1076" s="1">
        <v>6941.81</v>
      </c>
      <c r="C1076" s="1">
        <v>23102.47</v>
      </c>
      <c r="D1076">
        <v>146.35939999999999</v>
      </c>
      <c r="E1076">
        <v>5301.69</v>
      </c>
      <c r="F1076">
        <v>1115.2</v>
      </c>
      <c r="G1076">
        <v>81.487099999999998</v>
      </c>
      <c r="H1076">
        <v>94.638000000000005</v>
      </c>
      <c r="I1076" s="3">
        <v>2.5</v>
      </c>
      <c r="J1076" s="3">
        <v>2.58</v>
      </c>
      <c r="K1076" s="3">
        <v>3.65</v>
      </c>
      <c r="L1076" s="3">
        <v>2.5059999999999998</v>
      </c>
    </row>
    <row r="1077" spans="1:12" x14ac:dyDescent="0.3">
      <c r="A1077" s="2">
        <v>46064</v>
      </c>
      <c r="B1077" s="1">
        <v>6941.47</v>
      </c>
      <c r="C1077" s="1">
        <v>23066.47</v>
      </c>
      <c r="D1077">
        <v>146.7568</v>
      </c>
      <c r="E1077">
        <v>5354.49</v>
      </c>
      <c r="F1077">
        <v>1114.8699999999999</v>
      </c>
      <c r="G1077">
        <v>81.408500000000004</v>
      </c>
      <c r="H1077">
        <v>94.3733</v>
      </c>
      <c r="I1077" s="3">
        <v>2.5</v>
      </c>
      <c r="J1077" s="3">
        <v>2.58</v>
      </c>
      <c r="K1077" s="3">
        <v>3.65</v>
      </c>
      <c r="L1077" s="3">
        <v>2.4870000000000001</v>
      </c>
    </row>
    <row r="1078" spans="1:12" x14ac:dyDescent="0.3">
      <c r="A1078" s="2">
        <v>46065</v>
      </c>
      <c r="B1078" s="1">
        <v>6832.76</v>
      </c>
      <c r="C1078" s="1">
        <v>22597.15</v>
      </c>
      <c r="D1078">
        <v>144.71010000000001</v>
      </c>
      <c r="E1078">
        <v>5522.27</v>
      </c>
      <c r="F1078">
        <v>1125.99</v>
      </c>
      <c r="G1078">
        <v>81.487099999999998</v>
      </c>
      <c r="H1078">
        <v>94.951800000000006</v>
      </c>
      <c r="I1078" s="3">
        <v>2.5</v>
      </c>
      <c r="J1078" s="3">
        <v>2.5510000000000002</v>
      </c>
      <c r="K1078" s="3">
        <v>3.65</v>
      </c>
      <c r="L1078" s="3">
        <v>2.5459999999999998</v>
      </c>
    </row>
    <row r="1079" spans="1:12" x14ac:dyDescent="0.3">
      <c r="A1079" s="2">
        <v>46066</v>
      </c>
      <c r="B1079" s="1">
        <v>6836.17</v>
      </c>
      <c r="C1079" s="1">
        <v>22546.67</v>
      </c>
      <c r="D1079">
        <v>144.9982</v>
      </c>
      <c r="E1079">
        <v>5507.01</v>
      </c>
      <c r="F1079">
        <v>1106.08</v>
      </c>
      <c r="G1079">
        <v>81.614900000000006</v>
      </c>
      <c r="H1079">
        <v>95.3245</v>
      </c>
      <c r="I1079" s="3">
        <v>2.5</v>
      </c>
      <c r="J1079" s="3">
        <v>2.5510000000000002</v>
      </c>
      <c r="K1079" s="3">
        <v>3.66</v>
      </c>
      <c r="L1079" s="3">
        <v>2.5550000000000002</v>
      </c>
    </row>
    <row r="1080" spans="1:12" x14ac:dyDescent="0.3">
      <c r="A1080" s="2">
        <v>46069</v>
      </c>
      <c r="B1080" s="1">
        <v>6836.17</v>
      </c>
      <c r="C1080" s="1">
        <v>22546.67</v>
      </c>
      <c r="D1080">
        <v>144.9982</v>
      </c>
      <c r="E1080">
        <v>5507.01</v>
      </c>
      <c r="F1080">
        <v>1106.08</v>
      </c>
      <c r="G1080">
        <v>81.614900000000006</v>
      </c>
      <c r="H1080">
        <v>95.3245</v>
      </c>
      <c r="I1080" s="3">
        <v>2.5</v>
      </c>
      <c r="J1080" s="3">
        <v>2.5510000000000002</v>
      </c>
      <c r="K1080" s="3">
        <v>3.66</v>
      </c>
      <c r="L1080" s="3">
        <v>2.5</v>
      </c>
    </row>
    <row r="1081" spans="1:12" x14ac:dyDescent="0.3">
      <c r="A1081" s="2">
        <v>46070</v>
      </c>
      <c r="B1081" s="1">
        <v>6843.22</v>
      </c>
      <c r="C1081" s="1">
        <v>22578.38</v>
      </c>
      <c r="D1081">
        <v>145.05789999999999</v>
      </c>
      <c r="E1081">
        <v>5507.01</v>
      </c>
      <c r="F1081">
        <v>1106.08</v>
      </c>
      <c r="G1081">
        <v>81.585400000000007</v>
      </c>
      <c r="H1081">
        <v>95.314700000000002</v>
      </c>
      <c r="I1081" s="3">
        <v>2.5</v>
      </c>
      <c r="J1081" s="3">
        <v>2.5510000000000002</v>
      </c>
      <c r="K1081" s="3">
        <v>3.71</v>
      </c>
      <c r="L1081" s="3">
        <v>2.5</v>
      </c>
    </row>
    <row r="1082" spans="1:12" x14ac:dyDescent="0.3">
      <c r="A1082" s="2">
        <v>46071</v>
      </c>
      <c r="B1082" s="1">
        <v>6881.31</v>
      </c>
      <c r="C1082" s="1">
        <v>22753.63</v>
      </c>
      <c r="D1082">
        <v>145.68379999999999</v>
      </c>
      <c r="E1082">
        <v>5507.01</v>
      </c>
      <c r="F1082">
        <v>1106.08</v>
      </c>
      <c r="G1082">
        <v>81.536299999999997</v>
      </c>
      <c r="H1082">
        <v>95.118499999999997</v>
      </c>
      <c r="I1082" s="3">
        <v>2.5</v>
      </c>
      <c r="J1082" s="3">
        <v>2.5510000000000002</v>
      </c>
      <c r="K1082" s="3">
        <v>3.73</v>
      </c>
      <c r="L1082" s="3">
        <v>2.5</v>
      </c>
    </row>
    <row r="1083" spans="1:12" x14ac:dyDescent="0.3">
      <c r="A1083" s="2">
        <v>46072</v>
      </c>
      <c r="B1083" s="1">
        <v>6861.89</v>
      </c>
      <c r="C1083" s="1">
        <v>22682.73</v>
      </c>
      <c r="D1083">
        <v>145.39570000000001</v>
      </c>
      <c r="E1083">
        <v>5677.25</v>
      </c>
      <c r="F1083">
        <v>1160.71</v>
      </c>
      <c r="G1083">
        <v>81.536299999999997</v>
      </c>
      <c r="H1083">
        <v>95.206800000000001</v>
      </c>
      <c r="I1083" s="3">
        <v>2.5</v>
      </c>
      <c r="J1083" s="3">
        <v>2.5409999999999999</v>
      </c>
      <c r="K1083" s="3">
        <v>3.67</v>
      </c>
      <c r="L1083" s="3">
        <v>2.5510000000000002</v>
      </c>
    </row>
    <row r="1084" spans="1:12" x14ac:dyDescent="0.3">
      <c r="A1084" s="2">
        <v>46073</v>
      </c>
      <c r="B1084" s="1">
        <v>6909.51</v>
      </c>
      <c r="C1084" s="1">
        <v>22886.07</v>
      </c>
      <c r="D1084">
        <v>146.6773</v>
      </c>
      <c r="E1084">
        <v>5808.53</v>
      </c>
      <c r="F1084">
        <v>1154</v>
      </c>
      <c r="G1084">
        <v>81.546099999999996</v>
      </c>
      <c r="H1084">
        <v>95.206800000000001</v>
      </c>
      <c r="I1084" s="3">
        <v>2.5</v>
      </c>
      <c r="J1084" s="3">
        <v>2.5310000000000001</v>
      </c>
      <c r="K1084" s="3">
        <v>3.66</v>
      </c>
      <c r="L1084" s="3">
        <v>2.5230000000000001</v>
      </c>
    </row>
    <row r="1085" spans="1:12" x14ac:dyDescent="0.3">
      <c r="A1085" s="2">
        <v>46076</v>
      </c>
      <c r="B1085" s="1">
        <v>6837.75</v>
      </c>
      <c r="C1085" s="1">
        <v>22627.27</v>
      </c>
      <c r="D1085">
        <v>145.31620000000001</v>
      </c>
      <c r="E1085">
        <v>5846.09</v>
      </c>
      <c r="F1085">
        <v>1151.99</v>
      </c>
      <c r="G1085">
        <v>81.614900000000006</v>
      </c>
      <c r="H1085">
        <v>95.55</v>
      </c>
      <c r="I1085" s="3">
        <v>2.5</v>
      </c>
      <c r="J1085" s="3">
        <v>2.5310000000000001</v>
      </c>
      <c r="K1085" s="3">
        <v>3.66</v>
      </c>
      <c r="L1085" s="3">
        <v>2.5430000000000001</v>
      </c>
    </row>
    <row r="1086" spans="1:12" x14ac:dyDescent="0.3">
      <c r="A1086" s="2">
        <v>46077</v>
      </c>
      <c r="B1086" s="1">
        <v>6890.07</v>
      </c>
      <c r="C1086" s="1">
        <v>22863.68</v>
      </c>
      <c r="D1086">
        <v>146.3793</v>
      </c>
      <c r="E1086">
        <v>5969.64</v>
      </c>
      <c r="F1086">
        <v>1165</v>
      </c>
      <c r="G1086">
        <v>81.614900000000006</v>
      </c>
      <c r="H1086">
        <v>95.5304</v>
      </c>
      <c r="I1086" s="3">
        <v>2.5</v>
      </c>
      <c r="J1086" s="3">
        <v>2.5409999999999999</v>
      </c>
      <c r="K1086" s="3">
        <v>3.67</v>
      </c>
      <c r="L1086" s="3">
        <v>2.5470000000000002</v>
      </c>
    </row>
    <row r="1087" spans="1:12" x14ac:dyDescent="0.3">
      <c r="A1087" s="2">
        <v>46078</v>
      </c>
      <c r="B1087" s="1">
        <v>6946.13</v>
      </c>
      <c r="C1087" s="1">
        <v>23152.080000000002</v>
      </c>
      <c r="D1087">
        <v>147.6908</v>
      </c>
      <c r="E1087">
        <v>6083.86</v>
      </c>
      <c r="F1087">
        <v>1165.25</v>
      </c>
      <c r="G1087">
        <v>81.595200000000006</v>
      </c>
      <c r="H1087">
        <v>95.451899999999995</v>
      </c>
      <c r="I1087" s="3">
        <v>2.5</v>
      </c>
      <c r="J1087" s="3">
        <v>2.552</v>
      </c>
      <c r="K1087" s="3">
        <v>3.67</v>
      </c>
      <c r="L1087" s="3">
        <v>2.56</v>
      </c>
    </row>
    <row r="1088" spans="1:12" x14ac:dyDescent="0.3">
      <c r="A1088" s="2">
        <v>46079</v>
      </c>
      <c r="B1088" s="1">
        <v>6908.86</v>
      </c>
      <c r="C1088" s="1">
        <v>22878.38</v>
      </c>
      <c r="D1088">
        <v>146.99529999999999</v>
      </c>
      <c r="E1088">
        <v>6307.27</v>
      </c>
      <c r="F1088">
        <v>1188.1500000000001</v>
      </c>
      <c r="G1088">
        <v>81.624700000000004</v>
      </c>
      <c r="H1088">
        <v>95.706900000000005</v>
      </c>
      <c r="I1088" s="3">
        <v>2.5</v>
      </c>
      <c r="J1088" s="3">
        <v>2.5619999999999998</v>
      </c>
      <c r="K1088" s="3">
        <v>3.67</v>
      </c>
      <c r="L1088" s="3">
        <v>2.5569999999999999</v>
      </c>
    </row>
    <row r="1089" spans="1:12" x14ac:dyDescent="0.3">
      <c r="A1089" s="2">
        <v>46080</v>
      </c>
      <c r="B1089" s="1">
        <v>6878.88</v>
      </c>
      <c r="C1089" s="1">
        <v>22668.21</v>
      </c>
      <c r="D1089">
        <v>146.429</v>
      </c>
      <c r="E1089">
        <v>6244.13</v>
      </c>
      <c r="F1089">
        <v>1192.78</v>
      </c>
      <c r="G1089">
        <v>81.732799999999997</v>
      </c>
      <c r="H1089">
        <v>96.089299999999994</v>
      </c>
      <c r="I1089" s="3">
        <v>2.5</v>
      </c>
      <c r="J1089" s="3">
        <v>2.56</v>
      </c>
      <c r="K1089" s="3">
        <v>3.68</v>
      </c>
      <c r="L1089" s="3">
        <v>2.6019999999999999</v>
      </c>
    </row>
    <row r="1090" spans="1:12" x14ac:dyDescent="0.3">
      <c r="A1090" s="2">
        <v>46083</v>
      </c>
      <c r="B1090" s="1">
        <v>6881.62</v>
      </c>
      <c r="C1090" s="1">
        <v>22748.86</v>
      </c>
      <c r="D1090">
        <v>145.60429999999999</v>
      </c>
      <c r="E1090">
        <v>6244.13</v>
      </c>
      <c r="F1090">
        <v>1192.78</v>
      </c>
      <c r="G1090">
        <v>81.587999999999994</v>
      </c>
      <c r="H1090">
        <v>95.511899999999997</v>
      </c>
      <c r="I1090" s="3">
        <v>2.5</v>
      </c>
      <c r="J1090" s="3">
        <v>2.56</v>
      </c>
      <c r="K1090" s="3">
        <v>3.71</v>
      </c>
      <c r="L1090" s="3">
        <v>2.6019999999999999</v>
      </c>
    </row>
    <row r="1091" spans="1:12" x14ac:dyDescent="0.3">
      <c r="A1091" s="2">
        <v>46084</v>
      </c>
      <c r="B1091" s="1">
        <v>6816.63</v>
      </c>
      <c r="C1091" s="1">
        <v>22516.69</v>
      </c>
      <c r="D1091">
        <v>142.75280000000001</v>
      </c>
      <c r="E1091">
        <v>5791.91</v>
      </c>
      <c r="F1091">
        <v>1137.7</v>
      </c>
      <c r="G1091">
        <v>81.578100000000006</v>
      </c>
      <c r="H1091">
        <v>95.403700000000001</v>
      </c>
      <c r="I1091" s="3">
        <v>2.5</v>
      </c>
      <c r="J1091" s="3">
        <v>2.5390000000000001</v>
      </c>
      <c r="K1091" s="3">
        <v>3.7</v>
      </c>
      <c r="L1091" s="3">
        <v>2.5379999999999998</v>
      </c>
    </row>
    <row r="1092" spans="1:12" x14ac:dyDescent="0.3">
      <c r="A1092" s="2">
        <v>46085</v>
      </c>
      <c r="B1092" s="1">
        <v>6869.5</v>
      </c>
      <c r="C1092" s="1">
        <v>22807.48</v>
      </c>
      <c r="D1092">
        <v>144.0643</v>
      </c>
      <c r="E1092">
        <v>5093.54</v>
      </c>
      <c r="F1092">
        <v>978.44</v>
      </c>
      <c r="G1092">
        <v>81.528800000000004</v>
      </c>
      <c r="H1092">
        <v>95.206999999999994</v>
      </c>
      <c r="I1092" s="3">
        <v>2.5</v>
      </c>
      <c r="J1092" s="3">
        <v>2.5110000000000001</v>
      </c>
      <c r="K1092" s="3">
        <v>3.67</v>
      </c>
      <c r="L1092" s="3">
        <v>2.5099999999999998</v>
      </c>
    </row>
    <row r="1093" spans="1:12" x14ac:dyDescent="0.3">
      <c r="A1093" s="2">
        <v>46086</v>
      </c>
      <c r="B1093" s="1">
        <v>6830.71</v>
      </c>
      <c r="C1093" s="1">
        <v>22748.99</v>
      </c>
      <c r="D1093">
        <v>142.39519999999999</v>
      </c>
      <c r="E1093">
        <v>5583.9</v>
      </c>
      <c r="F1093">
        <v>1116.4100000000001</v>
      </c>
      <c r="G1093">
        <v>81.469700000000003</v>
      </c>
      <c r="H1093">
        <v>94.912000000000006</v>
      </c>
      <c r="I1093" s="3">
        <v>2.5</v>
      </c>
      <c r="J1093" s="3">
        <v>2.4990000000000001</v>
      </c>
      <c r="K1093" s="3">
        <v>3.66</v>
      </c>
      <c r="L1093" s="3">
        <v>2.516</v>
      </c>
    </row>
    <row r="1094" spans="1:12" x14ac:dyDescent="0.3">
      <c r="A1094" s="2">
        <v>46087</v>
      </c>
      <c r="B1094" s="1">
        <v>6740.02</v>
      </c>
      <c r="C1094" s="1">
        <v>22387.68</v>
      </c>
      <c r="D1094">
        <v>140.76570000000001</v>
      </c>
      <c r="E1094">
        <v>5584.87</v>
      </c>
      <c r="F1094">
        <v>1154.67</v>
      </c>
      <c r="G1094">
        <v>81.509100000000004</v>
      </c>
      <c r="H1094">
        <v>94.852999999999994</v>
      </c>
      <c r="I1094" s="3">
        <v>2.5</v>
      </c>
      <c r="J1094" s="3">
        <v>2.4900000000000002</v>
      </c>
      <c r="K1094" s="3">
        <v>3.65</v>
      </c>
      <c r="L1094" s="3">
        <v>2.5070000000000001</v>
      </c>
    </row>
    <row r="1095" spans="1:12" x14ac:dyDescent="0.3">
      <c r="A1095" s="2">
        <v>46090</v>
      </c>
      <c r="B1095" s="1">
        <v>6795.99</v>
      </c>
      <c r="C1095" s="1">
        <v>22695.95</v>
      </c>
      <c r="D1095">
        <v>142.12690000000001</v>
      </c>
      <c r="E1095">
        <v>5251.87</v>
      </c>
      <c r="F1095">
        <v>1102.28</v>
      </c>
      <c r="G1095">
        <v>81.548599999999993</v>
      </c>
      <c r="H1095">
        <v>95.147999999999996</v>
      </c>
      <c r="I1095" s="3">
        <v>2.5</v>
      </c>
      <c r="J1095" s="3">
        <v>2.56</v>
      </c>
      <c r="K1095" s="3">
        <v>3.65</v>
      </c>
      <c r="L1095" s="3">
        <v>2.5459999999999998</v>
      </c>
    </row>
    <row r="1096" spans="1:12" x14ac:dyDescent="0.3">
      <c r="A1096" s="2">
        <v>46091</v>
      </c>
      <c r="B1096" s="1">
        <v>6781.48</v>
      </c>
      <c r="C1096" s="1">
        <v>22697.1</v>
      </c>
      <c r="D1096">
        <v>142.12690000000001</v>
      </c>
      <c r="E1096">
        <v>5532.59</v>
      </c>
      <c r="F1096">
        <v>1137.68</v>
      </c>
      <c r="G1096">
        <v>81.499300000000005</v>
      </c>
      <c r="H1096">
        <v>94.843100000000007</v>
      </c>
      <c r="I1096" s="3">
        <v>2.5</v>
      </c>
      <c r="J1096" s="3">
        <v>2.5659999999999998</v>
      </c>
      <c r="K1096" s="3">
        <v>3.64</v>
      </c>
      <c r="L1096" s="3">
        <v>2.4860000000000002</v>
      </c>
    </row>
    <row r="1097" spans="1:12" x14ac:dyDescent="0.3">
      <c r="A1097" s="2">
        <v>46092</v>
      </c>
      <c r="B1097" s="1">
        <v>6775.8</v>
      </c>
      <c r="C1097" s="1">
        <v>22716.13</v>
      </c>
      <c r="D1097">
        <v>142.01759999999999</v>
      </c>
      <c r="E1097">
        <v>5609.95</v>
      </c>
      <c r="F1097">
        <v>1136.83</v>
      </c>
      <c r="G1097">
        <v>81.420500000000004</v>
      </c>
      <c r="H1097">
        <v>94.410399999999996</v>
      </c>
      <c r="I1097" s="3">
        <v>2.5</v>
      </c>
      <c r="J1097" s="3">
        <v>2.5649999999999999</v>
      </c>
      <c r="K1097" s="3">
        <v>3.64</v>
      </c>
      <c r="L1097" s="3">
        <v>2.492</v>
      </c>
    </row>
    <row r="1098" spans="1:12" x14ac:dyDescent="0.3">
      <c r="A1098" s="2">
        <v>46093</v>
      </c>
      <c r="B1098" s="1">
        <v>6672.62</v>
      </c>
      <c r="C1098" s="1">
        <v>22311.98</v>
      </c>
      <c r="D1098">
        <v>139.5437</v>
      </c>
      <c r="E1098">
        <v>5583.25</v>
      </c>
      <c r="F1098">
        <v>1148.4000000000001</v>
      </c>
      <c r="G1098">
        <v>81.282499999999999</v>
      </c>
      <c r="H1098">
        <v>94.105500000000006</v>
      </c>
      <c r="I1098" s="3">
        <v>2.5</v>
      </c>
      <c r="J1098" s="3">
        <v>2.56</v>
      </c>
      <c r="K1098" s="3">
        <v>3.65</v>
      </c>
      <c r="L1098" s="3">
        <v>2.5449999999999999</v>
      </c>
    </row>
    <row r="1099" spans="1:12" x14ac:dyDescent="0.3">
      <c r="A1099" s="2">
        <v>46094</v>
      </c>
      <c r="B1099" s="1">
        <v>6632.19</v>
      </c>
      <c r="C1099" s="1">
        <v>22105.360000000001</v>
      </c>
      <c r="D1099">
        <v>138.6395</v>
      </c>
      <c r="E1099">
        <v>5487.24</v>
      </c>
      <c r="F1099">
        <v>1152.96</v>
      </c>
      <c r="G1099">
        <v>81.331800000000001</v>
      </c>
      <c r="H1099">
        <v>94.007199999999997</v>
      </c>
      <c r="I1099" s="3">
        <v>2.5</v>
      </c>
      <c r="J1099" s="3">
        <v>2.5390000000000001</v>
      </c>
      <c r="K1099" s="3">
        <v>3.65</v>
      </c>
      <c r="L1099" s="3">
        <v>2.5379999999999998</v>
      </c>
    </row>
    <row r="1100" spans="1:12" x14ac:dyDescent="0.3">
      <c r="A1100" s="2">
        <v>46097</v>
      </c>
      <c r="B1100" s="1">
        <v>6699.38</v>
      </c>
      <c r="C1100" s="1">
        <v>22374.18</v>
      </c>
      <c r="D1100">
        <v>140.56700000000001</v>
      </c>
      <c r="E1100">
        <v>5549.85</v>
      </c>
      <c r="F1100">
        <v>1138.29</v>
      </c>
      <c r="G1100">
        <v>81.430300000000003</v>
      </c>
      <c r="H1100">
        <v>94.430099999999996</v>
      </c>
      <c r="I1100" s="3">
        <v>2.5</v>
      </c>
      <c r="J1100" s="3">
        <v>2.5289999999999999</v>
      </c>
      <c r="K1100" s="3">
        <v>3.7</v>
      </c>
      <c r="L1100" s="3">
        <v>2.528</v>
      </c>
    </row>
    <row r="1101" spans="1:12" x14ac:dyDescent="0.3">
      <c r="A1101" s="2">
        <v>46098</v>
      </c>
      <c r="B1101" s="1">
        <v>6716.09</v>
      </c>
      <c r="C1101" s="1">
        <v>22479.53</v>
      </c>
      <c r="D1101">
        <v>140.96440000000001</v>
      </c>
      <c r="E1101">
        <v>5640.48</v>
      </c>
      <c r="F1101">
        <v>1136.94</v>
      </c>
      <c r="G1101">
        <v>81.440200000000004</v>
      </c>
      <c r="H1101">
        <v>94.597300000000004</v>
      </c>
      <c r="I1101" s="3">
        <v>2.5</v>
      </c>
      <c r="J1101" s="3">
        <v>2.5190000000000001</v>
      </c>
      <c r="K1101" s="3">
        <v>3.65</v>
      </c>
      <c r="L1101" s="3">
        <v>2.5099999999999998</v>
      </c>
    </row>
    <row r="1102" spans="1:12" x14ac:dyDescent="0.3">
      <c r="A1102" s="2">
        <v>46099</v>
      </c>
      <c r="B1102" s="1">
        <v>6624.7</v>
      </c>
      <c r="C1102" s="1">
        <v>22152.42</v>
      </c>
      <c r="D1102">
        <v>138.80850000000001</v>
      </c>
      <c r="E1102">
        <v>5925.03</v>
      </c>
      <c r="F1102">
        <v>1164.3800000000001</v>
      </c>
      <c r="G1102">
        <v>81.292400000000001</v>
      </c>
      <c r="H1102">
        <v>94.164500000000004</v>
      </c>
      <c r="I1102" s="3">
        <v>2.5</v>
      </c>
      <c r="J1102" s="3">
        <v>2.4990000000000001</v>
      </c>
      <c r="K1102" s="3">
        <v>3.62</v>
      </c>
      <c r="L1102" s="3">
        <v>2.5209999999999999</v>
      </c>
    </row>
    <row r="1103" spans="1:12" x14ac:dyDescent="0.3">
      <c r="A1103" s="2">
        <v>46100</v>
      </c>
      <c r="B1103" s="1">
        <v>6606.49</v>
      </c>
      <c r="C1103" s="1">
        <v>22090.69</v>
      </c>
      <c r="D1103">
        <v>138.48060000000001</v>
      </c>
      <c r="E1103">
        <v>5763.22</v>
      </c>
      <c r="F1103">
        <v>1143.48</v>
      </c>
      <c r="G1103">
        <v>81.2727</v>
      </c>
      <c r="H1103">
        <v>94.154700000000005</v>
      </c>
      <c r="I1103" s="3">
        <v>2.5</v>
      </c>
      <c r="J1103" s="3">
        <v>2.52</v>
      </c>
      <c r="K1103" s="3">
        <v>3.62</v>
      </c>
      <c r="L1103" s="3">
        <v>2.536</v>
      </c>
    </row>
    <row r="1104" spans="1:12" x14ac:dyDescent="0.3">
      <c r="A1104" s="2">
        <v>46101</v>
      </c>
      <c r="B1104" s="1">
        <v>6506.48</v>
      </c>
      <c r="C1104" s="1">
        <v>21647.61</v>
      </c>
      <c r="D1104">
        <v>135.65889999999999</v>
      </c>
      <c r="E1104">
        <v>5781.2</v>
      </c>
      <c r="F1104">
        <v>1161.52</v>
      </c>
      <c r="G1104">
        <v>81.095299999999995</v>
      </c>
      <c r="H1104">
        <v>93.308999999999997</v>
      </c>
      <c r="I1104" s="3">
        <v>2.5</v>
      </c>
      <c r="J1104" s="3">
        <v>2.5209999999999999</v>
      </c>
      <c r="K1104" s="3">
        <v>3.62</v>
      </c>
      <c r="L1104" s="3">
        <v>2.5249999999999999</v>
      </c>
    </row>
    <row r="1105" spans="1:12" x14ac:dyDescent="0.3">
      <c r="A1105" s="2">
        <v>46104</v>
      </c>
      <c r="B1105" s="1">
        <v>6581</v>
      </c>
      <c r="C1105" s="1">
        <v>21946.76</v>
      </c>
      <c r="D1105">
        <v>137.9143</v>
      </c>
      <c r="E1105">
        <v>5405.75</v>
      </c>
      <c r="F1105">
        <v>1096.8900000000001</v>
      </c>
      <c r="G1105">
        <v>81.2136</v>
      </c>
      <c r="H1105">
        <v>93.603999999999999</v>
      </c>
      <c r="I1105" s="3">
        <v>2.5</v>
      </c>
      <c r="J1105" s="3">
        <v>2.5209999999999999</v>
      </c>
      <c r="K1105" s="3">
        <v>3.62</v>
      </c>
      <c r="L1105" s="3">
        <v>2.532</v>
      </c>
    </row>
    <row r="1106" spans="1:12" x14ac:dyDescent="0.3">
      <c r="A1106" s="2">
        <v>46105</v>
      </c>
      <c r="B1106" s="1">
        <v>6556.37</v>
      </c>
      <c r="C1106" s="1">
        <v>21761.89</v>
      </c>
      <c r="D1106">
        <v>137.14920000000001</v>
      </c>
      <c r="E1106">
        <v>5553.92</v>
      </c>
      <c r="F1106">
        <v>1121.44</v>
      </c>
      <c r="G1106">
        <v>81.095299999999995</v>
      </c>
      <c r="H1106">
        <v>93.289299999999997</v>
      </c>
      <c r="I1106" s="3">
        <v>2.5</v>
      </c>
      <c r="J1106" s="3">
        <v>2.532</v>
      </c>
      <c r="K1106" s="3">
        <v>3.63</v>
      </c>
      <c r="L1106" s="3">
        <v>2.5409999999999999</v>
      </c>
    </row>
    <row r="1107" spans="1:12" x14ac:dyDescent="0.3">
      <c r="A1107" s="2">
        <v>46106</v>
      </c>
      <c r="B1107" s="1">
        <v>6591.9</v>
      </c>
      <c r="C1107" s="1">
        <v>21929.83</v>
      </c>
      <c r="D1107">
        <v>138.4408</v>
      </c>
      <c r="E1107">
        <v>5642.21</v>
      </c>
      <c r="F1107">
        <v>1159.55</v>
      </c>
      <c r="G1107">
        <v>81.183999999999997</v>
      </c>
      <c r="H1107">
        <v>93.781000000000006</v>
      </c>
      <c r="I1107" s="3">
        <v>2.5</v>
      </c>
      <c r="J1107" s="3">
        <v>2.5310000000000001</v>
      </c>
      <c r="K1107" s="3">
        <v>3.64</v>
      </c>
      <c r="L1107" s="3">
        <v>2.532</v>
      </c>
    </row>
    <row r="1108" spans="1:12" x14ac:dyDescent="0.3">
      <c r="A1108" s="2">
        <v>46107</v>
      </c>
      <c r="B1108" s="1">
        <v>6477.16</v>
      </c>
      <c r="C1108" s="1">
        <v>21408.080000000002</v>
      </c>
      <c r="D1108">
        <v>135.4999</v>
      </c>
      <c r="E1108">
        <v>5460.46</v>
      </c>
      <c r="F1108">
        <v>1136.6400000000001</v>
      </c>
      <c r="G1108">
        <v>81.006699999999995</v>
      </c>
      <c r="H1108">
        <v>93.023799999999994</v>
      </c>
      <c r="I1108" s="3">
        <v>2.5</v>
      </c>
      <c r="J1108" s="3">
        <v>2.5310000000000001</v>
      </c>
      <c r="K1108" s="3">
        <v>3.65</v>
      </c>
      <c r="L1108" s="3">
        <v>2.528</v>
      </c>
    </row>
    <row r="1109" spans="1:12" x14ac:dyDescent="0.3">
      <c r="A1109" s="2">
        <v>46108</v>
      </c>
      <c r="B1109" s="1">
        <v>6368.85</v>
      </c>
      <c r="C1109" s="1">
        <v>20948.36</v>
      </c>
      <c r="D1109">
        <v>133.68170000000001</v>
      </c>
      <c r="E1109">
        <v>5438.87</v>
      </c>
      <c r="F1109">
        <v>1141.51</v>
      </c>
      <c r="G1109">
        <v>81.174199999999999</v>
      </c>
      <c r="H1109">
        <v>93.033600000000007</v>
      </c>
      <c r="I1109" s="3">
        <v>2.5</v>
      </c>
      <c r="J1109" s="3">
        <v>2.5209999999999999</v>
      </c>
      <c r="K1109" s="3">
        <v>3.63</v>
      </c>
      <c r="L1109" s="3">
        <v>2.5179999999999998</v>
      </c>
    </row>
    <row r="1110" spans="1:12" x14ac:dyDescent="0.3">
      <c r="A1110" s="2">
        <v>46111</v>
      </c>
      <c r="B1110" s="1">
        <v>6343.72</v>
      </c>
      <c r="C1110" s="1">
        <v>20794.64</v>
      </c>
      <c r="D1110">
        <v>133.32409999999999</v>
      </c>
      <c r="E1110">
        <v>5277.3</v>
      </c>
      <c r="F1110">
        <v>1107.05</v>
      </c>
      <c r="G1110">
        <v>81.282499999999999</v>
      </c>
      <c r="H1110">
        <v>93.692499999999995</v>
      </c>
      <c r="I1110" s="3">
        <v>2.5</v>
      </c>
      <c r="J1110" s="3">
        <v>2.512</v>
      </c>
      <c r="K1110" s="3">
        <v>3.63</v>
      </c>
      <c r="L1110" s="3">
        <v>2.5139999999999998</v>
      </c>
    </row>
    <row r="1111" spans="1:12" x14ac:dyDescent="0.3">
      <c r="A1111" s="2">
        <v>46112</v>
      </c>
      <c r="B1111" s="1">
        <v>6528.52</v>
      </c>
      <c r="C1111" s="1">
        <v>21590.63</v>
      </c>
      <c r="D1111">
        <v>137.47710000000001</v>
      </c>
      <c r="E1111">
        <v>5052.46</v>
      </c>
      <c r="F1111">
        <v>1052.3900000000001</v>
      </c>
      <c r="G1111">
        <v>81.351500000000001</v>
      </c>
      <c r="H1111">
        <v>93.859700000000004</v>
      </c>
      <c r="I1111" s="3">
        <v>2.5</v>
      </c>
      <c r="J1111" s="3">
        <v>2.5840000000000001</v>
      </c>
      <c r="K1111" s="3">
        <v>3.68</v>
      </c>
      <c r="L1111" s="3">
        <v>2.62</v>
      </c>
    </row>
    <row r="1112" spans="1:12" x14ac:dyDescent="0.3">
      <c r="A1112" s="2">
        <v>46113</v>
      </c>
      <c r="B1112" s="1">
        <v>6575.32</v>
      </c>
      <c r="C1112" s="1">
        <v>21840.95</v>
      </c>
      <c r="D1112">
        <v>138.7687</v>
      </c>
      <c r="E1112">
        <v>5478.7</v>
      </c>
      <c r="F1112">
        <v>1116.18</v>
      </c>
      <c r="G1112">
        <v>81.348399999999998</v>
      </c>
      <c r="H1112">
        <v>93.777900000000002</v>
      </c>
      <c r="I1112" s="3">
        <v>2.5</v>
      </c>
      <c r="J1112" s="3">
        <v>2.5409999999999999</v>
      </c>
      <c r="K1112" s="3">
        <v>3.65</v>
      </c>
      <c r="L1112" s="3">
        <v>2.5270000000000001</v>
      </c>
    </row>
    <row r="1113" spans="1:12" x14ac:dyDescent="0.3">
      <c r="A1113" s="2">
        <v>46114</v>
      </c>
      <c r="B1113" s="1">
        <v>6582.69</v>
      </c>
      <c r="C1113" s="1">
        <v>21879.18</v>
      </c>
      <c r="D1113">
        <v>138.5402</v>
      </c>
      <c r="E1113">
        <v>5234.05</v>
      </c>
      <c r="F1113">
        <v>1056.3399999999999</v>
      </c>
      <c r="G1113">
        <v>81.388000000000005</v>
      </c>
      <c r="H1113">
        <v>93.995000000000005</v>
      </c>
      <c r="I1113" s="3">
        <v>2.5</v>
      </c>
      <c r="J1113" s="3">
        <v>2.4900000000000002</v>
      </c>
      <c r="K1113" s="3">
        <v>3.66</v>
      </c>
      <c r="L1113" s="3">
        <v>2.5139999999999998</v>
      </c>
    </row>
    <row r="1114" spans="1:12" x14ac:dyDescent="0.3">
      <c r="A1114" s="2">
        <v>46115</v>
      </c>
      <c r="B1114" s="1">
        <v>6582.69</v>
      </c>
      <c r="C1114" s="1">
        <v>21879.18</v>
      </c>
      <c r="D1114">
        <v>138.5402</v>
      </c>
      <c r="E1114">
        <v>5377.3</v>
      </c>
      <c r="F1114">
        <v>1063.75</v>
      </c>
      <c r="G1114">
        <v>81.388000000000005</v>
      </c>
      <c r="H1114">
        <v>93.995000000000005</v>
      </c>
      <c r="I1114" s="3">
        <v>2.5</v>
      </c>
      <c r="J1114" s="3">
        <v>2.4900000000000002</v>
      </c>
      <c r="K1114" s="3">
        <v>3.66</v>
      </c>
      <c r="L1114" s="3">
        <v>2.492</v>
      </c>
    </row>
    <row r="1115" spans="1:12" x14ac:dyDescent="0.3">
      <c r="A1115" s="2">
        <v>46118</v>
      </c>
      <c r="B1115" s="1">
        <v>6611.83</v>
      </c>
      <c r="C1115" s="1">
        <v>21996.34</v>
      </c>
      <c r="D1115">
        <v>139.2456</v>
      </c>
      <c r="E1115">
        <v>5450.33</v>
      </c>
      <c r="F1115">
        <v>1047.3699999999999</v>
      </c>
      <c r="G1115">
        <v>81.308899999999994</v>
      </c>
      <c r="H1115">
        <v>93.7483</v>
      </c>
      <c r="I1115" s="3">
        <v>2.5</v>
      </c>
      <c r="J1115" s="3">
        <v>2.488</v>
      </c>
      <c r="K1115" s="3">
        <v>3.65</v>
      </c>
      <c r="L1115" s="3">
        <v>2.4950000000000001</v>
      </c>
    </row>
    <row r="1116" spans="1:12" x14ac:dyDescent="0.3">
      <c r="A1116" s="2">
        <v>46119</v>
      </c>
      <c r="B1116" s="1">
        <v>6616.85</v>
      </c>
      <c r="C1116" s="1">
        <v>22017.85</v>
      </c>
      <c r="D1116">
        <v>139.2953</v>
      </c>
      <c r="E1116">
        <v>5494.78</v>
      </c>
      <c r="F1116">
        <v>1036.73</v>
      </c>
      <c r="G1116">
        <v>81.368200000000002</v>
      </c>
      <c r="H1116">
        <v>93.985100000000003</v>
      </c>
      <c r="I1116" s="3">
        <v>2.5</v>
      </c>
      <c r="J1116" s="3">
        <v>2.4729999999999999</v>
      </c>
      <c r="K1116" s="3">
        <v>3.62</v>
      </c>
      <c r="L1116" s="3">
        <v>2.4089999999999998</v>
      </c>
    </row>
    <row r="1117" spans="1:12" x14ac:dyDescent="0.3">
      <c r="A1117" s="2">
        <v>46120</v>
      </c>
      <c r="B1117" s="1">
        <v>6782.81</v>
      </c>
      <c r="C1117" s="1">
        <v>22634.99</v>
      </c>
      <c r="D1117">
        <v>143.68680000000001</v>
      </c>
      <c r="E1117">
        <v>5872.34</v>
      </c>
      <c r="F1117">
        <v>1089.8499999999999</v>
      </c>
      <c r="G1117">
        <v>81.447199999999995</v>
      </c>
      <c r="H1117">
        <v>94.192400000000006</v>
      </c>
      <c r="I1117" s="3">
        <v>2.5</v>
      </c>
      <c r="J1117" s="3">
        <v>2.4740000000000002</v>
      </c>
      <c r="K1117" s="3">
        <v>3.59</v>
      </c>
      <c r="L1117" s="3">
        <v>2.4790000000000001</v>
      </c>
    </row>
    <row r="1118" spans="1:12" x14ac:dyDescent="0.3">
      <c r="A1118" s="2">
        <v>46121</v>
      </c>
      <c r="B1118" s="1">
        <v>6824.66</v>
      </c>
      <c r="C1118" s="1">
        <v>22822.42</v>
      </c>
      <c r="D1118">
        <v>144.13390000000001</v>
      </c>
      <c r="E1118">
        <v>5778.01</v>
      </c>
      <c r="F1118">
        <v>1076</v>
      </c>
      <c r="G1118">
        <v>81.466999999999999</v>
      </c>
      <c r="H1118">
        <v>94.162800000000004</v>
      </c>
      <c r="I1118" s="3">
        <v>2.5</v>
      </c>
      <c r="J1118" s="3">
        <v>2.5030000000000001</v>
      </c>
      <c r="K1118" s="3">
        <v>3.57</v>
      </c>
      <c r="L1118" s="3">
        <v>2.54</v>
      </c>
    </row>
    <row r="1119" spans="1:12" x14ac:dyDescent="0.3">
      <c r="A1119" s="2">
        <v>46122</v>
      </c>
      <c r="B1119" s="1">
        <v>6816.89</v>
      </c>
      <c r="C1119" s="1">
        <v>22902.89</v>
      </c>
      <c r="D1119">
        <v>144.10409999999999</v>
      </c>
      <c r="E1119">
        <v>5858.87</v>
      </c>
      <c r="F1119">
        <v>1093.6300000000001</v>
      </c>
      <c r="G1119">
        <v>81.437399999999997</v>
      </c>
      <c r="H1119">
        <v>94.004900000000006</v>
      </c>
      <c r="I1119" s="3">
        <v>2.5</v>
      </c>
      <c r="J1119" s="3">
        <v>2.5409999999999999</v>
      </c>
      <c r="K1119" s="3">
        <v>3.61</v>
      </c>
      <c r="L1119" s="3">
        <v>2.54</v>
      </c>
    </row>
    <row r="1120" spans="1:12" x14ac:dyDescent="0.3">
      <c r="A1120" s="2">
        <v>46125</v>
      </c>
      <c r="B1120" s="1">
        <v>6886.24</v>
      </c>
      <c r="C1120" s="1">
        <v>23183.74</v>
      </c>
      <c r="D1120">
        <v>145.46520000000001</v>
      </c>
      <c r="E1120">
        <v>5808.62</v>
      </c>
      <c r="F1120">
        <v>1099.8399999999999</v>
      </c>
      <c r="G1120">
        <v>81.496700000000004</v>
      </c>
      <c r="H1120">
        <v>94.212100000000007</v>
      </c>
      <c r="I1120" s="3">
        <v>2.5</v>
      </c>
      <c r="J1120" s="3">
        <v>2.54</v>
      </c>
      <c r="K1120" s="3">
        <v>3.63</v>
      </c>
      <c r="L1120" s="3">
        <v>2.5369999999999999</v>
      </c>
    </row>
    <row r="1121" spans="1:12" x14ac:dyDescent="0.3">
      <c r="A1121" s="2">
        <v>46126</v>
      </c>
      <c r="B1121" s="1">
        <v>6967.38</v>
      </c>
      <c r="C1121" s="1">
        <v>23639.08</v>
      </c>
      <c r="D1121">
        <v>147.1542</v>
      </c>
      <c r="E1121">
        <v>5967.75</v>
      </c>
      <c r="F1121">
        <v>1121.8800000000001</v>
      </c>
      <c r="G1121">
        <v>81.555899999999994</v>
      </c>
      <c r="H1121">
        <v>94.518000000000001</v>
      </c>
      <c r="I1121" s="3">
        <v>2.5</v>
      </c>
      <c r="J1121" s="3">
        <v>2.5099999999999998</v>
      </c>
      <c r="K1121" s="3">
        <v>3.66</v>
      </c>
      <c r="L1121" s="3">
        <v>2.5259999999999998</v>
      </c>
    </row>
    <row r="1122" spans="1:12" x14ac:dyDescent="0.3">
      <c r="A1122" s="2">
        <v>46127</v>
      </c>
      <c r="B1122" s="1">
        <v>7022.95</v>
      </c>
      <c r="C1122" s="1">
        <v>24016.02</v>
      </c>
      <c r="D1122">
        <v>147.8398</v>
      </c>
      <c r="E1122">
        <v>6091.39</v>
      </c>
      <c r="F1122">
        <v>1152.43</v>
      </c>
      <c r="G1122">
        <v>81.536199999999994</v>
      </c>
      <c r="H1122">
        <v>94.3108</v>
      </c>
      <c r="I1122" s="3">
        <v>2.5</v>
      </c>
      <c r="J1122" s="3">
        <v>2.4900000000000002</v>
      </c>
      <c r="K1122" s="3">
        <v>3.72</v>
      </c>
      <c r="L1122" s="3">
        <v>2.516</v>
      </c>
    </row>
    <row r="1123" spans="1:12" x14ac:dyDescent="0.3">
      <c r="A1123" s="2">
        <v>46128</v>
      </c>
      <c r="B1123" s="1">
        <v>7041.28</v>
      </c>
      <c r="C1123" s="1">
        <v>24102.7</v>
      </c>
      <c r="D1123">
        <v>147.9391</v>
      </c>
      <c r="E1123">
        <v>6226.05</v>
      </c>
      <c r="F1123">
        <v>1162.97</v>
      </c>
      <c r="G1123">
        <v>81.506500000000003</v>
      </c>
      <c r="H1123">
        <v>94.143000000000001</v>
      </c>
      <c r="I1123" s="3">
        <v>2.5</v>
      </c>
      <c r="J1123" s="3">
        <v>2.476</v>
      </c>
      <c r="K1123" s="3">
        <v>3.67</v>
      </c>
      <c r="L1123" s="3">
        <v>2.504</v>
      </c>
    </row>
    <row r="1124" spans="1:12" x14ac:dyDescent="0.3">
      <c r="A1124" s="2">
        <v>46129</v>
      </c>
      <c r="B1124" s="1">
        <v>7126.06</v>
      </c>
      <c r="C1124" s="1">
        <v>24468.48</v>
      </c>
      <c r="D1124">
        <v>149.92619999999999</v>
      </c>
      <c r="E1124">
        <v>6191.92</v>
      </c>
      <c r="F1124">
        <v>1170.04</v>
      </c>
      <c r="G1124">
        <v>81.664599999999993</v>
      </c>
      <c r="H1124">
        <v>94.656099999999995</v>
      </c>
      <c r="I1124" s="3">
        <v>2.5</v>
      </c>
      <c r="J1124" s="3">
        <v>2.5110000000000001</v>
      </c>
      <c r="K1124" s="3">
        <v>3.65</v>
      </c>
      <c r="L1124" s="3">
        <v>2.5150000000000001</v>
      </c>
    </row>
    <row r="1125" spans="1:12" x14ac:dyDescent="0.3">
      <c r="A1125" s="2">
        <v>46132</v>
      </c>
      <c r="B1125" s="1">
        <v>7109.14</v>
      </c>
      <c r="C1125" s="1">
        <v>24404.39</v>
      </c>
      <c r="D1125">
        <v>149.43940000000001</v>
      </c>
      <c r="E1125">
        <v>6219.09</v>
      </c>
      <c r="F1125">
        <v>1174.8499999999999</v>
      </c>
      <c r="G1125">
        <v>81.625100000000003</v>
      </c>
      <c r="H1125">
        <v>94.567300000000003</v>
      </c>
      <c r="I1125" s="3">
        <v>2.5</v>
      </c>
      <c r="J1125" s="3">
        <v>2.5209999999999999</v>
      </c>
      <c r="K1125" s="3">
        <v>3.63</v>
      </c>
      <c r="L1125" s="3">
        <v>2.5049999999999999</v>
      </c>
    </row>
    <row r="1126" spans="1:12" x14ac:dyDescent="0.3">
      <c r="A1126" s="2">
        <v>46133</v>
      </c>
      <c r="B1126" s="1">
        <v>7064.01</v>
      </c>
      <c r="C1126" s="1">
        <v>24259.96</v>
      </c>
      <c r="D1126">
        <v>147.78020000000001</v>
      </c>
      <c r="E1126">
        <v>6388.47</v>
      </c>
      <c r="F1126">
        <v>1179.03</v>
      </c>
      <c r="G1126">
        <v>81.506500000000003</v>
      </c>
      <c r="H1126">
        <v>94.152900000000002</v>
      </c>
      <c r="I1126" s="3">
        <v>2.5</v>
      </c>
      <c r="J1126" s="3">
        <v>2.52</v>
      </c>
      <c r="K1126" s="3">
        <v>3.63</v>
      </c>
      <c r="L1126" s="3">
        <v>2.5099999999999998</v>
      </c>
    </row>
    <row r="1127" spans="1:12" x14ac:dyDescent="0.3">
      <c r="A1127" s="2">
        <v>46134</v>
      </c>
      <c r="B1127" s="1">
        <v>7137.9</v>
      </c>
      <c r="C1127" s="1">
        <v>24657.57</v>
      </c>
      <c r="D1127">
        <v>149.20099999999999</v>
      </c>
      <c r="E1127">
        <v>6417.93</v>
      </c>
      <c r="F1127">
        <v>1181.1199999999999</v>
      </c>
      <c r="G1127">
        <v>81.546099999999996</v>
      </c>
      <c r="H1127">
        <v>94.251599999999996</v>
      </c>
      <c r="I1127" s="3">
        <v>2.5</v>
      </c>
      <c r="J1127" s="3">
        <v>2.5190000000000001</v>
      </c>
      <c r="K1127" s="3">
        <v>3.64</v>
      </c>
      <c r="L1127" s="3">
        <v>2.5110000000000001</v>
      </c>
    </row>
    <row r="1128" spans="1:12" x14ac:dyDescent="0.3">
      <c r="A1128" s="2">
        <v>46135</v>
      </c>
      <c r="B1128" s="1">
        <v>7108.4</v>
      </c>
      <c r="C1128" s="1">
        <v>24438.5</v>
      </c>
      <c r="D1128">
        <v>148.2869</v>
      </c>
      <c r="E1128">
        <v>6475.81</v>
      </c>
      <c r="F1128">
        <v>1174.31</v>
      </c>
      <c r="G1128">
        <v>81.506500000000003</v>
      </c>
      <c r="H1128">
        <v>94.103499999999997</v>
      </c>
      <c r="I1128" s="3">
        <v>2.5</v>
      </c>
      <c r="J1128" s="3">
        <v>2.5219999999999998</v>
      </c>
      <c r="K1128" s="3">
        <v>3.65</v>
      </c>
      <c r="L1128" s="3">
        <v>2.5390000000000001</v>
      </c>
    </row>
    <row r="1129" spans="1:12" x14ac:dyDescent="0.3">
      <c r="A1129" s="2">
        <v>46136</v>
      </c>
      <c r="B1129" s="1">
        <v>7165.08</v>
      </c>
      <c r="C1129" s="1">
        <v>24836.6</v>
      </c>
      <c r="D1129">
        <v>149.5189</v>
      </c>
      <c r="E1129">
        <v>6475.63</v>
      </c>
      <c r="F1129">
        <v>1203.8399999999999</v>
      </c>
      <c r="G1129">
        <v>81.595500000000001</v>
      </c>
      <c r="H1129">
        <v>94.290999999999997</v>
      </c>
      <c r="I1129" s="3">
        <v>2.5</v>
      </c>
      <c r="J1129" s="3">
        <v>2.5409999999999999</v>
      </c>
      <c r="K1129" s="3">
        <v>3.66</v>
      </c>
      <c r="L1129" s="3">
        <v>2.5299999999999998</v>
      </c>
    </row>
    <row r="1130" spans="1:12" x14ac:dyDescent="0.3">
      <c r="A1130" s="2">
        <v>46139</v>
      </c>
      <c r="B1130" s="1">
        <v>7173.91</v>
      </c>
      <c r="C1130" s="1">
        <v>24887.1</v>
      </c>
      <c r="D1130">
        <v>149.53880000000001</v>
      </c>
      <c r="E1130">
        <v>6615.03</v>
      </c>
      <c r="F1130">
        <v>1226.18</v>
      </c>
      <c r="G1130">
        <v>81.575699999999998</v>
      </c>
      <c r="H1130">
        <v>94.073899999999995</v>
      </c>
      <c r="I1130" s="3">
        <v>2.5</v>
      </c>
      <c r="J1130" s="3">
        <v>2.5499999999999998</v>
      </c>
      <c r="K1130" s="3">
        <v>3.66</v>
      </c>
      <c r="L1130" s="3">
        <v>2.5310000000000001</v>
      </c>
    </row>
    <row r="1131" spans="1:12" x14ac:dyDescent="0.3">
      <c r="A1131" s="2">
        <v>46140</v>
      </c>
      <c r="B1131" s="1">
        <v>7138.8</v>
      </c>
      <c r="C1131" s="1">
        <v>24663.8</v>
      </c>
      <c r="D1131">
        <v>148.65450000000001</v>
      </c>
      <c r="E1131">
        <v>6641.02</v>
      </c>
      <c r="F1131">
        <v>1215.58</v>
      </c>
      <c r="G1131">
        <v>81.526300000000006</v>
      </c>
      <c r="H1131">
        <v>93.985100000000003</v>
      </c>
      <c r="I1131" s="3">
        <v>2.5</v>
      </c>
      <c r="J1131" s="3">
        <v>2.5209999999999999</v>
      </c>
      <c r="K1131" s="3">
        <v>3.64</v>
      </c>
      <c r="L1131" s="3">
        <v>2.5179999999999998</v>
      </c>
    </row>
    <row r="1132" spans="1:12" x14ac:dyDescent="0.3">
      <c r="A1132" s="2">
        <v>46141</v>
      </c>
      <c r="B1132" s="1">
        <v>7135.95</v>
      </c>
      <c r="C1132" s="1">
        <v>24673.24</v>
      </c>
      <c r="D1132">
        <v>148.17760000000001</v>
      </c>
      <c r="E1132">
        <v>6690.9</v>
      </c>
      <c r="F1132">
        <v>1220.26</v>
      </c>
      <c r="G1132">
        <v>81.417599999999993</v>
      </c>
      <c r="H1132">
        <v>93.5411</v>
      </c>
      <c r="I1132" s="3">
        <v>2.5</v>
      </c>
      <c r="J1132" s="3">
        <v>2.5110000000000001</v>
      </c>
      <c r="K1132" s="3">
        <v>3.63</v>
      </c>
      <c r="L1132" s="3">
        <v>2.5129999999999999</v>
      </c>
    </row>
    <row r="1133" spans="1:12" x14ac:dyDescent="0.3">
      <c r="A1133" s="2">
        <v>46142</v>
      </c>
      <c r="B1133" s="1">
        <v>7209.01</v>
      </c>
      <c r="C1133" s="1">
        <v>24892.31</v>
      </c>
      <c r="D1133">
        <v>150.56209999999999</v>
      </c>
      <c r="E1133">
        <v>6598.87</v>
      </c>
      <c r="F1133">
        <v>1192.3499999999999</v>
      </c>
      <c r="G1133">
        <v>81.506500000000003</v>
      </c>
      <c r="H1133">
        <v>93.718699999999998</v>
      </c>
      <c r="I1133" s="3">
        <v>2.5</v>
      </c>
      <c r="J1133" s="3">
        <v>2.54</v>
      </c>
      <c r="K1133" s="3">
        <v>3.66</v>
      </c>
      <c r="L1133" s="3">
        <v>2.5539999999999998</v>
      </c>
    </row>
    <row r="1134" spans="1:12" x14ac:dyDescent="0.3">
      <c r="A1134" s="2">
        <v>46143</v>
      </c>
      <c r="B1134" s="1">
        <v>7230.12</v>
      </c>
      <c r="C1134" s="1">
        <v>25114.44</v>
      </c>
      <c r="D1134">
        <v>150.68129999999999</v>
      </c>
      <c r="E1134">
        <v>6598.87</v>
      </c>
      <c r="F1134">
        <v>1192.3499999999999</v>
      </c>
      <c r="G1134">
        <v>81.519199999999998</v>
      </c>
      <c r="H1134">
        <v>93.790499999999994</v>
      </c>
      <c r="I1134" s="3">
        <v>2.5</v>
      </c>
      <c r="J1134" s="3">
        <v>2.54</v>
      </c>
      <c r="K1134" s="3">
        <v>3.64</v>
      </c>
      <c r="L1134" s="3">
        <v>2.5539999999999998</v>
      </c>
    </row>
    <row r="1135" spans="1:12" x14ac:dyDescent="0.3">
      <c r="A1135" s="2">
        <v>46146</v>
      </c>
      <c r="B1135" s="1">
        <v>7200.75</v>
      </c>
      <c r="C1135" s="1">
        <v>25067.8</v>
      </c>
      <c r="D1135">
        <v>149.72749999999999</v>
      </c>
      <c r="E1135">
        <v>6936.99</v>
      </c>
      <c r="F1135">
        <v>1213.74</v>
      </c>
      <c r="G1135">
        <v>81.420100000000005</v>
      </c>
      <c r="H1135">
        <v>93.444000000000003</v>
      </c>
      <c r="I1135" s="3">
        <v>2.5</v>
      </c>
      <c r="J1135" s="3">
        <v>2.5459999999999998</v>
      </c>
      <c r="K1135" s="3">
        <v>3.63</v>
      </c>
      <c r="L1135" s="3">
        <v>2.4870000000000001</v>
      </c>
    </row>
    <row r="1136" spans="1:12" x14ac:dyDescent="0.3">
      <c r="A1136" s="2">
        <v>46147</v>
      </c>
      <c r="B1136" s="1">
        <v>7259.22</v>
      </c>
      <c r="C1136" s="1">
        <v>25326.13</v>
      </c>
      <c r="D1136">
        <v>151.36689999999999</v>
      </c>
      <c r="E1136">
        <v>6936.99</v>
      </c>
      <c r="F1136">
        <v>1213.74</v>
      </c>
      <c r="G1136">
        <v>81.459800000000001</v>
      </c>
      <c r="H1136">
        <v>93.582599999999999</v>
      </c>
      <c r="I1136" s="3">
        <v>2.5</v>
      </c>
      <c r="J1136" s="3">
        <v>2.5459999999999998</v>
      </c>
      <c r="K1136" s="3">
        <v>3.62</v>
      </c>
      <c r="L1136" s="3">
        <v>2.4870000000000001</v>
      </c>
    </row>
    <row r="1137" spans="1:12" x14ac:dyDescent="0.3">
      <c r="A1137" s="2">
        <v>46148</v>
      </c>
      <c r="B1137" s="1">
        <v>7365.12</v>
      </c>
      <c r="C1137" s="1">
        <v>25838.94</v>
      </c>
      <c r="D1137">
        <v>154.3972</v>
      </c>
      <c r="E1137">
        <v>7384.56</v>
      </c>
      <c r="F1137">
        <v>1210.17</v>
      </c>
      <c r="G1137">
        <v>81.568799999999996</v>
      </c>
      <c r="H1137">
        <v>94.047899999999998</v>
      </c>
      <c r="I1137" s="3">
        <v>2.5</v>
      </c>
      <c r="J1137" s="3">
        <v>2.544</v>
      </c>
      <c r="K1137" s="3">
        <v>3.61</v>
      </c>
      <c r="L1137" s="3">
        <v>2.4929999999999999</v>
      </c>
    </row>
    <row r="1138" spans="1:12" x14ac:dyDescent="0.3">
      <c r="A1138" s="2">
        <v>46149</v>
      </c>
      <c r="B1138" s="1">
        <v>7337.11</v>
      </c>
      <c r="C1138" s="1">
        <v>25806.2</v>
      </c>
      <c r="D1138">
        <v>152.9367</v>
      </c>
      <c r="E1138">
        <v>7490.05</v>
      </c>
      <c r="F1138">
        <v>1199.18</v>
      </c>
      <c r="G1138">
        <v>81.499399999999994</v>
      </c>
      <c r="H1138">
        <v>93.760800000000003</v>
      </c>
      <c r="I1138" s="3">
        <v>2.5</v>
      </c>
      <c r="J1138" s="3">
        <v>2.5289999999999999</v>
      </c>
      <c r="K1138" s="3">
        <v>3.6</v>
      </c>
      <c r="L1138" s="3">
        <v>2.5459999999999998</v>
      </c>
    </row>
    <row r="1139" spans="1:12" x14ac:dyDescent="0.3">
      <c r="A1139" s="2">
        <v>46150</v>
      </c>
      <c r="B1139" s="1">
        <v>7398.93</v>
      </c>
      <c r="C1139" s="1">
        <v>26247.08</v>
      </c>
      <c r="D1139">
        <v>154.37729999999999</v>
      </c>
      <c r="E1139">
        <v>7498</v>
      </c>
      <c r="F1139">
        <v>1207.72</v>
      </c>
      <c r="G1139">
        <v>81.568799999999996</v>
      </c>
      <c r="H1139">
        <v>94.008300000000006</v>
      </c>
      <c r="I1139" s="3">
        <v>2.5</v>
      </c>
      <c r="J1139" s="3">
        <v>2.5390000000000001</v>
      </c>
      <c r="K1139" s="3">
        <v>3.6</v>
      </c>
      <c r="L1139" s="3">
        <v>2.548</v>
      </c>
    </row>
    <row r="1140" spans="1:12" x14ac:dyDescent="0.3">
      <c r="A1140" s="2">
        <v>46153</v>
      </c>
      <c r="B1140" s="1">
        <v>7412.84</v>
      </c>
      <c r="C1140" s="1">
        <v>26274.13</v>
      </c>
      <c r="D1140">
        <v>154.5264</v>
      </c>
      <c r="E1140">
        <v>7822.24</v>
      </c>
      <c r="F1140">
        <v>1207.3399999999999</v>
      </c>
      <c r="G1140">
        <v>81.489500000000007</v>
      </c>
      <c r="H1140">
        <v>93.691500000000005</v>
      </c>
      <c r="I1140" s="3">
        <v>2.5</v>
      </c>
      <c r="J1140" s="3">
        <v>2.5499999999999998</v>
      </c>
      <c r="K1140" s="3">
        <v>3.6</v>
      </c>
      <c r="L1140" s="3">
        <v>2.5609999999999999</v>
      </c>
    </row>
    <row r="1141" spans="1:12" x14ac:dyDescent="0.3">
      <c r="A1141" s="2">
        <v>46154</v>
      </c>
      <c r="B1141" s="1">
        <v>7400.96</v>
      </c>
      <c r="C1141" s="1">
        <v>26088.2</v>
      </c>
      <c r="D1141">
        <v>153.65199999999999</v>
      </c>
      <c r="E1141">
        <v>7643.15</v>
      </c>
      <c r="F1141">
        <v>1179.29</v>
      </c>
      <c r="G1141">
        <v>81.430000000000007</v>
      </c>
      <c r="H1141">
        <v>93.374700000000004</v>
      </c>
      <c r="I1141" s="3">
        <v>2.5</v>
      </c>
      <c r="J1141" s="3">
        <v>2.5499999999999998</v>
      </c>
      <c r="K1141" s="3">
        <v>3.6</v>
      </c>
      <c r="L1141" s="3">
        <v>2.5830000000000002</v>
      </c>
    </row>
    <row r="1142" spans="1:12" x14ac:dyDescent="0.3">
      <c r="A1142" s="2">
        <v>46155</v>
      </c>
      <c r="B1142" s="1">
        <v>7444.25</v>
      </c>
      <c r="C1142" s="1">
        <v>26402.34</v>
      </c>
      <c r="D1142">
        <v>154.8741</v>
      </c>
      <c r="E1142">
        <v>7844.01</v>
      </c>
      <c r="F1142">
        <v>1176.93</v>
      </c>
      <c r="G1142">
        <v>81.459800000000001</v>
      </c>
      <c r="H1142">
        <v>93.374700000000004</v>
      </c>
      <c r="I1142" s="3">
        <v>2.5</v>
      </c>
      <c r="J1142" s="3">
        <v>2.5190000000000001</v>
      </c>
      <c r="K1142" s="3">
        <v>3.59</v>
      </c>
      <c r="L1142" s="3">
        <v>2.524</v>
      </c>
    </row>
    <row r="1143" spans="1:12" x14ac:dyDescent="0.3">
      <c r="A1143" s="2">
        <v>46156</v>
      </c>
      <c r="B1143" s="1">
        <v>7501.24</v>
      </c>
      <c r="C1143" s="1">
        <v>26635.22</v>
      </c>
      <c r="D1143">
        <v>155.63910000000001</v>
      </c>
      <c r="E1143">
        <v>7981.41</v>
      </c>
      <c r="F1143">
        <v>1191.0899999999999</v>
      </c>
      <c r="G1143">
        <v>81.430000000000007</v>
      </c>
      <c r="H1143">
        <v>93.315299999999993</v>
      </c>
      <c r="I1143" s="3">
        <v>2.5</v>
      </c>
      <c r="J1143" s="3">
        <v>2.5179999999999998</v>
      </c>
      <c r="K1143" s="3">
        <v>3.56</v>
      </c>
      <c r="L1143" s="3">
        <v>2.5350000000000001</v>
      </c>
    </row>
    <row r="1144" spans="1:12" x14ac:dyDescent="0.3">
      <c r="A1144" s="2">
        <v>46157</v>
      </c>
      <c r="B1144" s="1">
        <v>7408.5</v>
      </c>
      <c r="C1144" s="1">
        <v>26225.14</v>
      </c>
      <c r="D1144">
        <v>153.0857</v>
      </c>
      <c r="E1144">
        <v>7493.18</v>
      </c>
      <c r="F1144">
        <v>1129.82</v>
      </c>
      <c r="G1144">
        <v>81.3309</v>
      </c>
      <c r="H1144">
        <v>92.572800000000001</v>
      </c>
      <c r="I1144" s="3">
        <v>2.5</v>
      </c>
      <c r="J1144" s="3">
        <v>2.5190000000000001</v>
      </c>
      <c r="K1144" s="3">
        <v>3.55</v>
      </c>
      <c r="L1144" s="3">
        <v>2.5270000000000001</v>
      </c>
    </row>
    <row r="1145" spans="1:12" x14ac:dyDescent="0.3">
      <c r="A1145" s="2">
        <v>46160</v>
      </c>
      <c r="B1145" s="1">
        <v>7403.05</v>
      </c>
      <c r="C1145" s="1">
        <v>26090.73</v>
      </c>
      <c r="D1145">
        <v>153.35400000000001</v>
      </c>
      <c r="E1145">
        <v>7516.04</v>
      </c>
      <c r="F1145">
        <v>1111.0899999999999</v>
      </c>
      <c r="G1145">
        <v>81.370599999999996</v>
      </c>
      <c r="H1145">
        <v>92.533199999999994</v>
      </c>
      <c r="I1145" s="3">
        <v>2.5</v>
      </c>
      <c r="J1145" s="3">
        <v>2.5089999999999999</v>
      </c>
      <c r="K1145" s="3">
        <v>3.53</v>
      </c>
      <c r="L1145" s="3">
        <v>2.524</v>
      </c>
    </row>
    <row r="1146" spans="1:12" x14ac:dyDescent="0.3">
      <c r="A1146" s="2">
        <v>46161</v>
      </c>
      <c r="B1146" s="1">
        <v>7353.61</v>
      </c>
      <c r="C1146" s="1">
        <v>25870.71</v>
      </c>
      <c r="D1146">
        <v>152.1617</v>
      </c>
      <c r="E1146">
        <v>7271.66</v>
      </c>
      <c r="F1146">
        <v>1084.3599999999999</v>
      </c>
      <c r="G1146">
        <v>81.311099999999996</v>
      </c>
      <c r="H1146">
        <v>92.1768</v>
      </c>
      <c r="I1146" s="3">
        <v>2.5</v>
      </c>
      <c r="J1146" s="3">
        <v>2.5059999999999998</v>
      </c>
      <c r="K1146" s="3">
        <v>3.51</v>
      </c>
      <c r="L1146" s="3">
        <v>2.5139999999999998</v>
      </c>
    </row>
    <row r="1147" spans="1:12" x14ac:dyDescent="0.3">
      <c r="A1147" s="2">
        <v>46162</v>
      </c>
      <c r="B1147" s="1">
        <v>7432.97</v>
      </c>
      <c r="C1147" s="1">
        <v>26270.36</v>
      </c>
      <c r="D1147">
        <v>154.09909999999999</v>
      </c>
      <c r="E1147">
        <v>7208.95</v>
      </c>
      <c r="F1147">
        <v>1056.07</v>
      </c>
      <c r="G1147">
        <v>81.420100000000005</v>
      </c>
      <c r="H1147">
        <v>92.8005</v>
      </c>
      <c r="I1147" s="3">
        <v>2.5</v>
      </c>
      <c r="J1147" s="3">
        <v>2.508</v>
      </c>
      <c r="K1147" s="3">
        <v>3.5</v>
      </c>
      <c r="L1147" s="3">
        <v>2.5169999999999999</v>
      </c>
    </row>
    <row r="1148" spans="1:12" x14ac:dyDescent="0.3">
      <c r="A1148" s="2">
        <v>46163</v>
      </c>
      <c r="B1148" s="1">
        <v>7445.72</v>
      </c>
      <c r="C1148" s="1">
        <v>26293.1</v>
      </c>
      <c r="D1148">
        <v>154.68530000000001</v>
      </c>
      <c r="E1148">
        <v>7815.59</v>
      </c>
      <c r="F1148">
        <v>1105.97</v>
      </c>
      <c r="G1148">
        <v>81.410200000000003</v>
      </c>
      <c r="H1148">
        <v>92.859899999999996</v>
      </c>
      <c r="I1148" s="3">
        <v>2.5</v>
      </c>
      <c r="J1148" s="3">
        <v>2.52</v>
      </c>
      <c r="K1148" s="3">
        <v>3.51</v>
      </c>
      <c r="L1148" s="3">
        <v>2.5249999999999999</v>
      </c>
    </row>
    <row r="1149" spans="1:12" x14ac:dyDescent="0.3">
      <c r="A1149" s="2">
        <v>46164</v>
      </c>
      <c r="B1149" s="1">
        <v>7473.47</v>
      </c>
      <c r="C1149" s="1">
        <v>26343.97</v>
      </c>
      <c r="D1149">
        <v>154.98339999999999</v>
      </c>
      <c r="E1149">
        <v>7847.71</v>
      </c>
      <c r="F1149">
        <v>1161.1300000000001</v>
      </c>
      <c r="G1149">
        <v>81.3904</v>
      </c>
      <c r="H1149">
        <v>92.939099999999996</v>
      </c>
      <c r="I1149" s="3">
        <v>2.5</v>
      </c>
      <c r="J1149" s="3">
        <v>2.5299999999999998</v>
      </c>
      <c r="K1149" s="3">
        <v>3.55</v>
      </c>
      <c r="L1149" s="3">
        <v>2.516</v>
      </c>
    </row>
    <row r="1150" spans="1:12" x14ac:dyDescent="0.3">
      <c r="A1150" s="2">
        <v>46167</v>
      </c>
      <c r="B1150" s="1">
        <v>7473.47</v>
      </c>
      <c r="C1150" s="1">
        <v>26343.97</v>
      </c>
      <c r="D1150">
        <v>154.98339999999999</v>
      </c>
      <c r="E1150">
        <v>7847.71</v>
      </c>
      <c r="F1150">
        <v>1161.1300000000001</v>
      </c>
      <c r="G1150">
        <v>81.3904</v>
      </c>
      <c r="H1150">
        <v>92.939099999999996</v>
      </c>
      <c r="I1150" s="3">
        <v>2.5</v>
      </c>
      <c r="J1150" s="3">
        <v>2.5299999999999998</v>
      </c>
      <c r="K1150" s="3">
        <v>3.55</v>
      </c>
      <c r="L1150" s="3">
        <v>2.516</v>
      </c>
    </row>
    <row r="1151" spans="1:12" x14ac:dyDescent="0.3">
      <c r="A1151" s="2">
        <v>46168</v>
      </c>
      <c r="B1151" s="1">
        <v>7519.12</v>
      </c>
      <c r="C1151" s="1">
        <v>26656.18</v>
      </c>
      <c r="D1151">
        <v>156.82149999999999</v>
      </c>
      <c r="E1151">
        <v>8047.51</v>
      </c>
      <c r="F1151">
        <v>1172.52</v>
      </c>
      <c r="G1151">
        <v>81.479600000000005</v>
      </c>
      <c r="H1151">
        <v>93.335099999999997</v>
      </c>
      <c r="I1151" s="3">
        <v>2.5</v>
      </c>
      <c r="J1151" s="3">
        <v>2.54</v>
      </c>
      <c r="K1151" s="3">
        <v>3.63</v>
      </c>
      <c r="L1151" s="3">
        <v>2.5379999999999998</v>
      </c>
    </row>
    <row r="1152" spans="1:12" x14ac:dyDescent="0.3">
      <c r="A1152" s="2">
        <v>46169</v>
      </c>
      <c r="B1152" s="1">
        <v>7520.36</v>
      </c>
      <c r="C1152" s="1">
        <v>26674.73</v>
      </c>
      <c r="D1152">
        <v>156.62270000000001</v>
      </c>
      <c r="E1152">
        <v>8228.7000000000007</v>
      </c>
      <c r="F1152">
        <v>1133.1300000000001</v>
      </c>
      <c r="G1152">
        <v>81.489500000000007</v>
      </c>
      <c r="H1152">
        <v>93.374700000000004</v>
      </c>
      <c r="I1152" s="3">
        <v>2.5</v>
      </c>
      <c r="J1152" s="3">
        <v>2.5499999999999998</v>
      </c>
      <c r="K1152" s="3">
        <v>3.63</v>
      </c>
      <c r="L1152" s="3">
        <v>2.5499999999999998</v>
      </c>
    </row>
    <row r="1153" spans="1:12" x14ac:dyDescent="0.3">
      <c r="A1153" s="2">
        <v>46170</v>
      </c>
      <c r="B1153" s="1">
        <v>7563.63</v>
      </c>
      <c r="C1153" s="1">
        <v>26917.47</v>
      </c>
      <c r="D1153">
        <v>157.22880000000001</v>
      </c>
      <c r="E1153">
        <v>8185.29</v>
      </c>
      <c r="F1153">
        <v>1104.3599999999999</v>
      </c>
      <c r="G1153">
        <v>81.529200000000003</v>
      </c>
      <c r="H1153">
        <v>93.592500000000001</v>
      </c>
      <c r="I1153" s="3">
        <v>2.5</v>
      </c>
      <c r="J1153" s="3">
        <v>2.5379999999999998</v>
      </c>
      <c r="K1153" s="3">
        <v>3.62</v>
      </c>
      <c r="L1153" s="3">
        <v>2.5350000000000001</v>
      </c>
    </row>
    <row r="1154" spans="1:12" x14ac:dyDescent="0.3">
      <c r="A1154" s="2">
        <v>46171</v>
      </c>
      <c r="B1154" s="1">
        <v>7580.06</v>
      </c>
      <c r="C1154" s="1">
        <v>26972.62</v>
      </c>
      <c r="D1154">
        <v>157.51689999999999</v>
      </c>
      <c r="E1154">
        <v>8476.15</v>
      </c>
      <c r="F1154">
        <v>1074.8</v>
      </c>
      <c r="G1154">
        <v>81.568799999999996</v>
      </c>
      <c r="H1154">
        <v>93.701400000000007</v>
      </c>
      <c r="I1154" s="3">
        <v>2.5</v>
      </c>
      <c r="J1154" s="3">
        <v>2.56</v>
      </c>
      <c r="K1154" s="3">
        <v>3.63</v>
      </c>
      <c r="L1154" s="3">
        <v>2.5920000000000001</v>
      </c>
    </row>
    <row r="1155" spans="1:12" x14ac:dyDescent="0.3">
      <c r="A1155" s="2">
        <v>46174</v>
      </c>
      <c r="B1155" s="1">
        <v>7599.96</v>
      </c>
      <c r="C1155" s="1">
        <v>27086.81</v>
      </c>
      <c r="D1155">
        <v>158.07329999999999</v>
      </c>
      <c r="E1155">
        <v>8788.3799999999992</v>
      </c>
      <c r="F1155">
        <v>1050.03</v>
      </c>
      <c r="G1155">
        <v>81.521900000000002</v>
      </c>
      <c r="H1155">
        <v>93.539599999999993</v>
      </c>
      <c r="I1155" s="3">
        <v>2.5</v>
      </c>
      <c r="J1155" s="3">
        <v>2.5390000000000001</v>
      </c>
      <c r="K1155" s="3">
        <v>3.65</v>
      </c>
      <c r="L1155" s="3">
        <v>2.536</v>
      </c>
    </row>
    <row r="1156" spans="1:12" x14ac:dyDescent="0.3">
      <c r="A1156" s="2">
        <v>46175</v>
      </c>
      <c r="B1156" s="1">
        <v>7609.78</v>
      </c>
      <c r="C1156" s="1">
        <v>27093.9</v>
      </c>
      <c r="D1156">
        <v>158.93770000000001</v>
      </c>
      <c r="E1156">
        <v>8801.49</v>
      </c>
      <c r="F1156">
        <v>1026.03</v>
      </c>
      <c r="G1156">
        <v>81.521900000000002</v>
      </c>
      <c r="H1156">
        <v>93.609200000000001</v>
      </c>
      <c r="I1156" s="3">
        <v>2.5</v>
      </c>
      <c r="J1156" s="3">
        <v>2.5289999999999999</v>
      </c>
      <c r="K1156" s="3">
        <v>3.63</v>
      </c>
      <c r="L1156" s="3">
        <v>2.5179999999999998</v>
      </c>
    </row>
    <row r="1157" spans="1:12" x14ac:dyDescent="0.3">
      <c r="A1157" s="2">
        <v>46176</v>
      </c>
      <c r="B1157" s="1">
        <v>7553.68</v>
      </c>
      <c r="C1157" s="1">
        <v>26853.97</v>
      </c>
      <c r="D1157">
        <v>157.62620000000001</v>
      </c>
      <c r="E1157">
        <v>8801.49</v>
      </c>
      <c r="F1157">
        <v>1026.03</v>
      </c>
      <c r="G1157">
        <v>81.482200000000006</v>
      </c>
      <c r="H1157">
        <v>93.370800000000003</v>
      </c>
      <c r="I1157" s="3">
        <v>2.5</v>
      </c>
      <c r="J1157" s="3">
        <v>2.5289999999999999</v>
      </c>
      <c r="K1157" s="3">
        <v>3.61</v>
      </c>
      <c r="L1157" s="3">
        <v>2.5179999999999998</v>
      </c>
    </row>
    <row r="1158" spans="1:12" x14ac:dyDescent="0.3">
      <c r="A1158" s="2">
        <v>46177</v>
      </c>
      <c r="B1158" s="1">
        <v>7584.31</v>
      </c>
      <c r="C1158" s="1">
        <v>26830.959999999999</v>
      </c>
      <c r="D1158">
        <v>158.10310000000001</v>
      </c>
      <c r="E1158">
        <v>8639.41</v>
      </c>
      <c r="F1158">
        <v>1049.73</v>
      </c>
      <c r="G1158">
        <v>81.541799999999995</v>
      </c>
      <c r="H1158">
        <v>93.49</v>
      </c>
      <c r="I1158" s="3">
        <v>2.5</v>
      </c>
      <c r="J1158" s="3">
        <v>2.5190000000000001</v>
      </c>
      <c r="K1158" s="3">
        <v>3.62</v>
      </c>
      <c r="L1158" s="3">
        <v>2.5139999999999998</v>
      </c>
    </row>
    <row r="1159" spans="1:12" x14ac:dyDescent="0.3">
      <c r="A1159" s="2">
        <v>46178</v>
      </c>
      <c r="B1159" s="1">
        <v>7383.74</v>
      </c>
      <c r="C1159" s="1">
        <v>25709.43</v>
      </c>
      <c r="D1159">
        <v>153.3937</v>
      </c>
      <c r="E1159">
        <v>8160.59</v>
      </c>
      <c r="F1159">
        <v>1002.44</v>
      </c>
      <c r="G1159">
        <v>81.372799999999998</v>
      </c>
      <c r="H1159">
        <v>92.993300000000005</v>
      </c>
      <c r="I1159" s="3">
        <v>2.5</v>
      </c>
      <c r="J1159" s="3">
        <v>2.5089999999999999</v>
      </c>
      <c r="K1159" s="3">
        <v>3.63</v>
      </c>
      <c r="L1159" s="3">
        <v>2.5270000000000001</v>
      </c>
    </row>
    <row r="1160" spans="1:12" x14ac:dyDescent="0.3">
      <c r="A1160" s="2">
        <v>46181</v>
      </c>
      <c r="B1160" s="1">
        <v>7405.73</v>
      </c>
      <c r="C1160" s="1">
        <v>25929.66</v>
      </c>
      <c r="D1160">
        <v>153.9203</v>
      </c>
      <c r="E1160">
        <v>7484.41</v>
      </c>
      <c r="F1160">
        <v>911.39</v>
      </c>
      <c r="G1160">
        <v>81.412599999999998</v>
      </c>
      <c r="H1160">
        <v>92.894000000000005</v>
      </c>
      <c r="I1160" s="3">
        <v>2.5</v>
      </c>
      <c r="J1160" s="3">
        <v>2.5099999999999998</v>
      </c>
      <c r="K1160" s="3">
        <v>3.63</v>
      </c>
      <c r="L1160" s="3">
        <v>2.528</v>
      </c>
    </row>
    <row r="1161" spans="1:12" x14ac:dyDescent="0.3">
      <c r="A1161" s="2">
        <v>46182</v>
      </c>
      <c r="B1161" s="1">
        <v>7386.65</v>
      </c>
      <c r="C1161" s="1">
        <v>25678.82</v>
      </c>
      <c r="D1161">
        <v>153.60239999999999</v>
      </c>
      <c r="E1161">
        <v>8096.93</v>
      </c>
      <c r="F1161">
        <v>967.81</v>
      </c>
      <c r="G1161">
        <v>81.452399999999997</v>
      </c>
      <c r="H1161">
        <v>93.152299999999997</v>
      </c>
      <c r="I1161" s="3">
        <v>2.5</v>
      </c>
      <c r="J1161" s="3">
        <v>2.5649999999999999</v>
      </c>
      <c r="K1161" s="3">
        <v>3.6</v>
      </c>
      <c r="L1161" s="3">
        <v>2.5129999999999999</v>
      </c>
    </row>
    <row r="1162" spans="1:12" x14ac:dyDescent="0.3">
      <c r="A1162" s="2">
        <v>46183</v>
      </c>
      <c r="B1162" s="1">
        <v>7266.99</v>
      </c>
      <c r="C1162" s="1">
        <v>25169.5</v>
      </c>
      <c r="D1162">
        <v>151.2576</v>
      </c>
      <c r="E1162">
        <v>7730.82</v>
      </c>
      <c r="F1162">
        <v>951.63</v>
      </c>
      <c r="G1162">
        <v>81.452399999999997</v>
      </c>
      <c r="H1162">
        <v>93.062899999999999</v>
      </c>
      <c r="I1162" s="3">
        <v>2.5</v>
      </c>
      <c r="J1162" s="3">
        <v>2.573</v>
      </c>
      <c r="K1162" s="3">
        <v>3.59</v>
      </c>
      <c r="L1162" s="3">
        <v>2.4830000000000001</v>
      </c>
    </row>
    <row r="1163" spans="1:12" x14ac:dyDescent="0.3">
      <c r="A1163" s="2">
        <v>46184</v>
      </c>
      <c r="B1163" s="1">
        <v>7394.3</v>
      </c>
      <c r="C1163" s="1">
        <v>25809.66</v>
      </c>
      <c r="D1163">
        <v>154.8244</v>
      </c>
      <c r="E1163">
        <v>7763.95</v>
      </c>
      <c r="F1163">
        <v>996.93</v>
      </c>
      <c r="G1163">
        <v>81.601500000000001</v>
      </c>
      <c r="H1163">
        <v>93.708500000000001</v>
      </c>
      <c r="I1163" s="3">
        <v>2.5</v>
      </c>
      <c r="J1163" s="3">
        <v>2.5550000000000002</v>
      </c>
      <c r="K1163" s="3">
        <v>3.6</v>
      </c>
      <c r="L1163" s="3">
        <v>2.556</v>
      </c>
    </row>
    <row r="1164" spans="1:12" x14ac:dyDescent="0.3">
      <c r="A1164" s="2">
        <v>46185</v>
      </c>
      <c r="B1164" s="1">
        <v>7431.46</v>
      </c>
      <c r="C1164" s="1">
        <v>25888.84</v>
      </c>
      <c r="D1164">
        <v>155.46029999999999</v>
      </c>
      <c r="E1164">
        <v>8123.62</v>
      </c>
      <c r="F1164">
        <v>1029.05</v>
      </c>
      <c r="G1164">
        <v>81.581599999999995</v>
      </c>
      <c r="H1164">
        <v>93.549599999999998</v>
      </c>
      <c r="I1164" s="3">
        <v>2.5</v>
      </c>
      <c r="J1164" s="3">
        <v>2.5499999999999998</v>
      </c>
      <c r="K1164" s="3">
        <v>3.65</v>
      </c>
      <c r="L1164" s="3">
        <v>2.5379999999999998</v>
      </c>
    </row>
    <row r="1165" spans="1:12" x14ac:dyDescent="0.3">
      <c r="A1165" s="2">
        <v>46188</v>
      </c>
      <c r="B1165" s="1">
        <v>7554.29</v>
      </c>
      <c r="C1165" s="1">
        <v>26683.94</v>
      </c>
      <c r="D1165">
        <v>158.04</v>
      </c>
      <c r="E1165">
        <v>8545.98</v>
      </c>
      <c r="F1165">
        <v>1034.03</v>
      </c>
      <c r="G1165">
        <v>81.621399999999994</v>
      </c>
      <c r="H1165">
        <v>93.648899999999998</v>
      </c>
      <c r="I1165" s="3">
        <v>2.5</v>
      </c>
      <c r="J1165" s="3">
        <v>2.5419999999999998</v>
      </c>
      <c r="K1165" s="3">
        <v>3.69</v>
      </c>
      <c r="L1165" s="3">
        <v>2.5470000000000002</v>
      </c>
    </row>
    <row r="1166" spans="1:12" x14ac:dyDescent="0.3">
      <c r="A1166" s="2">
        <v>46189</v>
      </c>
      <c r="B1166" s="1">
        <v>7511.35</v>
      </c>
      <c r="C1166" s="1">
        <v>26376.34</v>
      </c>
      <c r="D1166">
        <v>157.34</v>
      </c>
      <c r="E1166">
        <v>8726.6</v>
      </c>
      <c r="F1166">
        <v>1018.68</v>
      </c>
      <c r="G1166">
        <v>81.636300000000006</v>
      </c>
      <c r="H1166">
        <v>93.887299999999996</v>
      </c>
      <c r="I1166" s="3">
        <v>2.5</v>
      </c>
      <c r="J1166" s="3">
        <v>2.5390000000000001</v>
      </c>
      <c r="K1166" s="3">
        <v>3.63</v>
      </c>
      <c r="L1166" s="3">
        <v>2.5299999999999998</v>
      </c>
    </row>
    <row r="1167" spans="1:12" x14ac:dyDescent="0.3">
      <c r="A1167" s="2">
        <v>46190</v>
      </c>
      <c r="B1167" s="1">
        <v>7420.1</v>
      </c>
      <c r="C1167" s="1">
        <v>26021.66</v>
      </c>
      <c r="D1167">
        <v>155.81</v>
      </c>
      <c r="E1167">
        <v>8864.24</v>
      </c>
      <c r="F1167">
        <v>1031.96</v>
      </c>
      <c r="G1167">
        <v>81.392700000000005</v>
      </c>
      <c r="H1167">
        <v>93.390699999999995</v>
      </c>
      <c r="I1167" s="3">
        <v>2.5</v>
      </c>
      <c r="J1167" s="3">
        <v>2.5299999999999998</v>
      </c>
      <c r="K1167" s="3">
        <v>3.63</v>
      </c>
      <c r="L1167" s="3">
        <v>2.5379999999999998</v>
      </c>
    </row>
    <row r="1168" spans="1:12" x14ac:dyDescent="0.3">
      <c r="A1168" s="2">
        <v>46191</v>
      </c>
      <c r="B1168" s="1">
        <v>7500.58</v>
      </c>
      <c r="C1168" s="1">
        <v>26517.93</v>
      </c>
      <c r="D1168">
        <v>157.74</v>
      </c>
      <c r="E1168">
        <v>9063.84</v>
      </c>
      <c r="F1168">
        <v>1000.93</v>
      </c>
      <c r="G1168">
        <v>81.502099999999999</v>
      </c>
      <c r="H1168">
        <v>93.728399999999993</v>
      </c>
      <c r="I1168" s="3">
        <v>2.5</v>
      </c>
      <c r="J1168" s="3">
        <v>2.5299999999999998</v>
      </c>
      <c r="K1168" s="3">
        <v>3.62</v>
      </c>
      <c r="L1168" s="3">
        <v>2.5339999999999998</v>
      </c>
    </row>
    <row r="1169" spans="1:12" x14ac:dyDescent="0.3">
      <c r="A1169" s="2">
        <v>46192</v>
      </c>
      <c r="B1169" s="1">
        <v>7500.58</v>
      </c>
      <c r="C1169" s="1">
        <v>26517.93</v>
      </c>
      <c r="D1169">
        <v>157.74</v>
      </c>
      <c r="E1169">
        <v>9052.42</v>
      </c>
      <c r="F1169">
        <v>966.59</v>
      </c>
      <c r="G1169">
        <v>81.502099999999999</v>
      </c>
      <c r="H1169">
        <v>93.728399999999993</v>
      </c>
      <c r="I1169" s="3">
        <v>2.5</v>
      </c>
      <c r="J1169" s="3">
        <v>2.54</v>
      </c>
      <c r="K1169" s="3">
        <v>3.62</v>
      </c>
      <c r="L1169" s="3">
        <v>2.5209999999999999</v>
      </c>
    </row>
    <row r="1170" spans="1:12" x14ac:dyDescent="0.3">
      <c r="A1170" s="2">
        <v>46195</v>
      </c>
      <c r="B1170" s="1">
        <v>7472.79</v>
      </c>
      <c r="C1170" s="1">
        <v>26166.6</v>
      </c>
      <c r="D1170">
        <v>157.59</v>
      </c>
      <c r="E1170">
        <v>9114.5499999999993</v>
      </c>
      <c r="F1170">
        <v>968.4</v>
      </c>
      <c r="G1170">
        <v>81.422499999999999</v>
      </c>
      <c r="H1170">
        <v>93.370800000000003</v>
      </c>
      <c r="I1170" s="3">
        <v>2.5</v>
      </c>
      <c r="J1170" s="3">
        <v>2.5499999999999998</v>
      </c>
      <c r="K1170" s="3">
        <v>3.61</v>
      </c>
      <c r="L1170" s="3">
        <v>2.5379999999999998</v>
      </c>
    </row>
    <row r="1171" spans="1:12" x14ac:dyDescent="0.3">
      <c r="A1171" s="2">
        <v>46196</v>
      </c>
      <c r="B1171" s="1">
        <v>7365.46</v>
      </c>
      <c r="C1171" s="1">
        <v>25587.040000000001</v>
      </c>
      <c r="D1171">
        <v>154.44</v>
      </c>
      <c r="E1171">
        <v>8203.84</v>
      </c>
      <c r="F1171">
        <v>891.52</v>
      </c>
      <c r="G1171">
        <v>81.482200000000006</v>
      </c>
      <c r="H1171">
        <v>93.49</v>
      </c>
      <c r="I1171" s="3">
        <v>2.5</v>
      </c>
      <c r="J1171" s="3">
        <v>2.5499999999999998</v>
      </c>
      <c r="K1171" s="3">
        <v>3.62</v>
      </c>
      <c r="L1171" s="3">
        <v>2.5510000000000002</v>
      </c>
    </row>
    <row r="1172" spans="1:12" x14ac:dyDescent="0.3">
      <c r="A1172" s="2">
        <v>46197</v>
      </c>
      <c r="B1172" s="1">
        <v>7358.22</v>
      </c>
      <c r="C1172" s="1">
        <v>25476.63</v>
      </c>
      <c r="D1172">
        <v>154.22999999999999</v>
      </c>
      <c r="E1172">
        <v>8471.02</v>
      </c>
      <c r="F1172">
        <v>909.31</v>
      </c>
      <c r="G1172">
        <v>81.581599999999995</v>
      </c>
      <c r="H1172">
        <v>94.0959</v>
      </c>
      <c r="I1172" s="3">
        <v>2.5</v>
      </c>
      <c r="J1172" s="3">
        <v>2.54</v>
      </c>
      <c r="K1172" s="3">
        <v>3.62</v>
      </c>
      <c r="L1172" s="3">
        <v>2.5449999999999999</v>
      </c>
    </row>
    <row r="1173" spans="1:12" x14ac:dyDescent="0.3">
      <c r="A1173" s="2">
        <v>46198</v>
      </c>
      <c r="B1173" s="1">
        <v>7357.49</v>
      </c>
      <c r="C1173" s="1">
        <v>25358.6</v>
      </c>
      <c r="D1173">
        <v>154.69999999999999</v>
      </c>
      <c r="E1173">
        <v>8930.2999999999993</v>
      </c>
      <c r="F1173">
        <v>887.81</v>
      </c>
      <c r="G1173">
        <v>81.601500000000001</v>
      </c>
      <c r="H1173">
        <v>94.155500000000004</v>
      </c>
      <c r="I1173" s="3">
        <v>2.5</v>
      </c>
      <c r="J1173" s="3">
        <v>2.54</v>
      </c>
      <c r="K1173" s="3">
        <v>3.64</v>
      </c>
      <c r="L1173" s="3">
        <v>2.5430000000000001</v>
      </c>
    </row>
    <row r="1174" spans="1:12" x14ac:dyDescent="0.3">
      <c r="A1174" s="2">
        <v>46199</v>
      </c>
      <c r="B1174" s="1">
        <v>7354.02</v>
      </c>
      <c r="C1174" s="1">
        <v>25297.62</v>
      </c>
      <c r="D1174">
        <v>154.28</v>
      </c>
      <c r="E1174">
        <v>8411.2099999999991</v>
      </c>
      <c r="F1174">
        <v>851.37</v>
      </c>
      <c r="G1174">
        <v>81.700900000000004</v>
      </c>
      <c r="H1174">
        <v>94.393900000000002</v>
      </c>
      <c r="I1174" s="3">
        <v>2.5</v>
      </c>
      <c r="J1174" s="3">
        <v>2.5499999999999998</v>
      </c>
      <c r="K1174" s="3">
        <v>3.62</v>
      </c>
      <c r="L1174" s="3">
        <v>2.5499999999999998</v>
      </c>
    </row>
    <row r="1175" spans="1:12" x14ac:dyDescent="0.3">
      <c r="A1175" s="2">
        <v>46202</v>
      </c>
      <c r="B1175" s="1">
        <v>7440.43</v>
      </c>
      <c r="C1175" s="1">
        <v>25820.14</v>
      </c>
      <c r="D1175">
        <v>155.82</v>
      </c>
      <c r="E1175">
        <v>8394.65</v>
      </c>
      <c r="F1175">
        <v>920.57</v>
      </c>
      <c r="G1175">
        <v>81.680999999999997</v>
      </c>
      <c r="H1175">
        <v>94.423699999999997</v>
      </c>
      <c r="I1175" s="3">
        <v>2.5</v>
      </c>
      <c r="J1175" s="3">
        <v>2.5510000000000002</v>
      </c>
      <c r="K1175" s="3">
        <v>3.62</v>
      </c>
      <c r="L1175" s="3">
        <v>2.552</v>
      </c>
    </row>
    <row r="1176" spans="1:12" x14ac:dyDescent="0.3">
      <c r="A1176" s="2">
        <v>46203</v>
      </c>
      <c r="B1176" s="1">
        <v>7499.36</v>
      </c>
      <c r="C1176" s="1">
        <v>26213.72</v>
      </c>
      <c r="D1176">
        <v>156.97</v>
      </c>
      <c r="E1176">
        <v>8476.48</v>
      </c>
      <c r="F1176">
        <v>916.18</v>
      </c>
      <c r="G1176">
        <v>81.621399999999994</v>
      </c>
      <c r="H1176">
        <v>93.936999999999998</v>
      </c>
      <c r="I1176" s="3">
        <v>2.5</v>
      </c>
      <c r="J1176" s="3">
        <v>2.6030000000000002</v>
      </c>
      <c r="K1176" s="3">
        <v>3.68</v>
      </c>
      <c r="L1176" s="3">
        <v>2.65</v>
      </c>
    </row>
    <row r="1177" spans="1:12" x14ac:dyDescent="0.3">
      <c r="A1177" s="2">
        <v>46204</v>
      </c>
      <c r="B1177" s="1">
        <v>7483.23</v>
      </c>
      <c r="C1177" s="1">
        <v>26040.03</v>
      </c>
      <c r="D1177">
        <v>156.12</v>
      </c>
      <c r="E1177">
        <v>8303.41</v>
      </c>
      <c r="F1177">
        <v>929.35</v>
      </c>
      <c r="G1177">
        <v>81.589699999999993</v>
      </c>
      <c r="H1177">
        <v>93.708799999999997</v>
      </c>
      <c r="I1177" s="3">
        <v>2.5</v>
      </c>
      <c r="J1177" s="3">
        <v>2.54</v>
      </c>
      <c r="K1177" s="3">
        <v>3.66</v>
      </c>
      <c r="L1177" s="3">
        <v>2.508</v>
      </c>
    </row>
    <row r="1178" spans="1:12" x14ac:dyDescent="0.3">
      <c r="A1178" s="2">
        <v>46205</v>
      </c>
      <c r="B1178" s="1">
        <v>7483.24</v>
      </c>
      <c r="C1178" s="1">
        <v>25832.67</v>
      </c>
      <c r="D1178">
        <v>156.15</v>
      </c>
      <c r="E1178">
        <v>7648.09</v>
      </c>
      <c r="F1178">
        <v>866.72</v>
      </c>
      <c r="G1178">
        <v>81.689400000000006</v>
      </c>
      <c r="H1178">
        <v>93.798500000000004</v>
      </c>
      <c r="I1178" s="3">
        <v>2.5</v>
      </c>
      <c r="J1178" s="3">
        <v>2.5059999999999998</v>
      </c>
      <c r="K1178" s="3">
        <v>3.64</v>
      </c>
      <c r="L1178" s="3">
        <v>2.4289999999999998</v>
      </c>
    </row>
    <row r="1179" spans="1:12" x14ac:dyDescent="0.3">
      <c r="A1179" s="2">
        <v>46206</v>
      </c>
      <c r="B1179" s="1">
        <v>7483.24</v>
      </c>
      <c r="C1179" s="1">
        <v>25832.67</v>
      </c>
      <c r="D1179">
        <v>156.15</v>
      </c>
      <c r="E1179">
        <v>8088.34</v>
      </c>
      <c r="F1179">
        <v>868.41</v>
      </c>
      <c r="G1179">
        <v>81.689400000000006</v>
      </c>
      <c r="H1179">
        <v>93.798500000000004</v>
      </c>
      <c r="I1179" s="3">
        <v>2.5</v>
      </c>
      <c r="J1179" s="3">
        <v>2.4489999999999998</v>
      </c>
      <c r="K1179" s="3">
        <v>3.64</v>
      </c>
      <c r="L1179" s="3">
        <v>2.4350000000000001</v>
      </c>
    </row>
    <row r="1180" spans="1:12" x14ac:dyDescent="0.3">
      <c r="A1180" s="2">
        <v>46209</v>
      </c>
      <c r="B1180" s="1">
        <v>7537.43</v>
      </c>
      <c r="C1180" s="1">
        <v>26121.16</v>
      </c>
      <c r="D1180">
        <v>157.97</v>
      </c>
      <c r="E1180">
        <v>8051.33</v>
      </c>
      <c r="F1180">
        <v>847.07</v>
      </c>
      <c r="G1180">
        <v>81.729299999999995</v>
      </c>
      <c r="H1180">
        <v>93.8583</v>
      </c>
      <c r="I1180" s="3">
        <v>2.5</v>
      </c>
      <c r="J1180" s="3">
        <v>2.444</v>
      </c>
      <c r="K1180" s="3">
        <v>3.63</v>
      </c>
      <c r="L1180" s="3">
        <v>2.4380000000000002</v>
      </c>
    </row>
    <row r="1181" spans="1:12" x14ac:dyDescent="0.3">
      <c r="A1181" s="2">
        <v>46210</v>
      </c>
      <c r="B1181" s="1">
        <v>7503.85</v>
      </c>
      <c r="C1181" s="1">
        <v>25818.69</v>
      </c>
      <c r="D1181">
        <v>156.46</v>
      </c>
      <c r="E1181">
        <v>7656.31</v>
      </c>
      <c r="F1181">
        <v>831.23</v>
      </c>
      <c r="G1181">
        <v>81.609700000000004</v>
      </c>
      <c r="H1181">
        <v>93.379900000000006</v>
      </c>
      <c r="I1181" s="3">
        <v>2.5</v>
      </c>
      <c r="J1181" s="3">
        <v>2.468</v>
      </c>
      <c r="K1181" s="3">
        <v>3.62</v>
      </c>
      <c r="L1181" s="3">
        <v>2.431</v>
      </c>
    </row>
    <row r="1182" spans="1:12" x14ac:dyDescent="0.3">
      <c r="A1182" s="2">
        <v>46211</v>
      </c>
      <c r="B1182" s="1">
        <v>7482.71</v>
      </c>
      <c r="C1182" s="1">
        <v>25870.65</v>
      </c>
      <c r="D1182">
        <v>155.9</v>
      </c>
      <c r="E1182">
        <v>7246.79</v>
      </c>
      <c r="F1182">
        <v>785</v>
      </c>
      <c r="G1182">
        <v>81.589699999999993</v>
      </c>
      <c r="H1182">
        <v>93.190600000000003</v>
      </c>
      <c r="I1182" s="3">
        <v>2.5</v>
      </c>
      <c r="J1182" s="3">
        <v>2.4670000000000001</v>
      </c>
      <c r="K1182" s="3">
        <v>3.58</v>
      </c>
      <c r="L1182" s="3">
        <v>2.4260000000000002</v>
      </c>
    </row>
    <row r="1183" spans="1:12" x14ac:dyDescent="0.3">
      <c r="A1183" s="2">
        <v>46212</v>
      </c>
      <c r="B1183" s="1">
        <v>7543.64</v>
      </c>
      <c r="C1183" s="1">
        <v>26206.89</v>
      </c>
      <c r="D1183">
        <v>157.02000000000001</v>
      </c>
      <c r="E1183">
        <v>7291.91</v>
      </c>
      <c r="F1183">
        <v>794</v>
      </c>
      <c r="G1183">
        <v>81.659499999999994</v>
      </c>
      <c r="H1183">
        <v>93.389899999999997</v>
      </c>
      <c r="I1183" s="3">
        <v>2.5</v>
      </c>
      <c r="J1183" s="3">
        <v>2.5009999999999999</v>
      </c>
      <c r="K1183" s="3">
        <v>3.53</v>
      </c>
      <c r="L1183" s="3">
        <v>2.5070000000000001</v>
      </c>
    </row>
    <row r="1184" spans="1:12" x14ac:dyDescent="0.3">
      <c r="A1184" s="2">
        <v>46213</v>
      </c>
      <c r="B1184" s="1">
        <v>7575.39</v>
      </c>
      <c r="C1184" s="1">
        <v>26281.61</v>
      </c>
      <c r="D1184">
        <v>157.68</v>
      </c>
      <c r="E1184">
        <v>7475.94</v>
      </c>
      <c r="F1184">
        <v>837.43</v>
      </c>
      <c r="G1184">
        <v>81.629599999999996</v>
      </c>
      <c r="H1184">
        <v>93.310199999999995</v>
      </c>
      <c r="I1184" s="3">
        <v>2.5</v>
      </c>
      <c r="J1184" s="3">
        <v>2.5430000000000001</v>
      </c>
      <c r="K1184" s="3">
        <v>3.55</v>
      </c>
      <c r="L1184" s="3">
        <v>2.5379999999999998</v>
      </c>
    </row>
    <row r="1185" spans="1:12" x14ac:dyDescent="0.3">
      <c r="A1185" s="2">
        <v>46216</v>
      </c>
      <c r="B1185" s="1">
        <v>7515.34</v>
      </c>
      <c r="C1185" s="1">
        <v>25873.18</v>
      </c>
      <c r="D1185">
        <v>155.94</v>
      </c>
      <c r="E1185">
        <v>6806.93</v>
      </c>
      <c r="F1185">
        <v>799.36</v>
      </c>
      <c r="G1185">
        <v>81.539900000000003</v>
      </c>
      <c r="H1185">
        <v>92.971299999999999</v>
      </c>
      <c r="I1185" s="3">
        <v>2.5</v>
      </c>
      <c r="J1185" s="3">
        <v>2.56</v>
      </c>
      <c r="K1185" s="3">
        <v>3.6</v>
      </c>
      <c r="L1185" s="3">
        <v>2.556</v>
      </c>
    </row>
    <row r="1186" spans="1:12" x14ac:dyDescent="0.3">
      <c r="A1186" s="2">
        <v>46217</v>
      </c>
      <c r="B1186" s="1">
        <v>7543.59</v>
      </c>
      <c r="C1186" s="1">
        <v>26107.01</v>
      </c>
      <c r="D1186">
        <v>156.94</v>
      </c>
      <c r="E1186">
        <v>6856.83</v>
      </c>
      <c r="F1186">
        <v>783.98</v>
      </c>
      <c r="G1186">
        <v>81.679500000000004</v>
      </c>
      <c r="H1186">
        <v>93.230400000000003</v>
      </c>
      <c r="I1186" s="3">
        <v>2.5</v>
      </c>
      <c r="J1186" s="3">
        <v>2.5739999999999998</v>
      </c>
      <c r="K1186" s="3">
        <v>3.63</v>
      </c>
      <c r="L1186" s="3">
        <v>2.5609999999999999</v>
      </c>
    </row>
    <row r="1187" spans="1:12" x14ac:dyDescent="0.3">
      <c r="A1187" s="2">
        <v>46218</v>
      </c>
      <c r="B1187" s="1">
        <v>7572.4</v>
      </c>
      <c r="C1187" s="1">
        <v>26269.23</v>
      </c>
      <c r="D1187">
        <v>157.52000000000001</v>
      </c>
      <c r="E1187">
        <v>7284.41</v>
      </c>
      <c r="F1187">
        <v>829.43</v>
      </c>
      <c r="G1187">
        <v>81.749200000000002</v>
      </c>
      <c r="H1187">
        <v>93.459599999999995</v>
      </c>
      <c r="I1187" s="3">
        <v>2.5</v>
      </c>
      <c r="J1187" s="3">
        <v>2.5459999999999998</v>
      </c>
      <c r="K1187" s="3">
        <v>3.64</v>
      </c>
      <c r="L1187" s="3">
        <v>2.5640000000000001</v>
      </c>
    </row>
    <row r="1188" spans="1:12" x14ac:dyDescent="0.3">
      <c r="A1188" s="2">
        <v>46219</v>
      </c>
      <c r="B1188" s="1">
        <v>7533.77</v>
      </c>
      <c r="C1188" s="1">
        <v>25881.95</v>
      </c>
      <c r="D1188">
        <v>156.36000000000001</v>
      </c>
      <c r="E1188">
        <v>6820.6</v>
      </c>
      <c r="F1188">
        <v>791.84</v>
      </c>
      <c r="G1188">
        <v>81.749200000000002</v>
      </c>
      <c r="H1188">
        <v>93.399900000000002</v>
      </c>
      <c r="I1188" s="3">
        <v>2.75</v>
      </c>
      <c r="J1188" s="3">
        <v>2.7490000000000001</v>
      </c>
      <c r="K1188" s="3">
        <v>3.62</v>
      </c>
      <c r="L1188" s="3">
        <v>2.74</v>
      </c>
    </row>
    <row r="1189" spans="1:12" x14ac:dyDescent="0.3">
      <c r="A1189" s="2">
        <v>46220</v>
      </c>
      <c r="B1189" s="1">
        <v>7457.69</v>
      </c>
      <c r="C1189" s="1">
        <v>25520.240000000002</v>
      </c>
      <c r="D1189">
        <v>155</v>
      </c>
      <c r="E1189">
        <v>6820.6</v>
      </c>
      <c r="F1189">
        <v>791.84</v>
      </c>
      <c r="G1189">
        <v>81.7393</v>
      </c>
      <c r="H1189">
        <v>93.519400000000005</v>
      </c>
      <c r="I1189" s="3">
        <v>2.75</v>
      </c>
      <c r="J1189" s="3">
        <v>2.7490000000000001</v>
      </c>
      <c r="K1189" s="3">
        <v>3.59</v>
      </c>
      <c r="L1189" s="3">
        <v>2.74</v>
      </c>
    </row>
    <row r="1190" spans="1:12" x14ac:dyDescent="0.3">
      <c r="A1190" s="2">
        <v>46223</v>
      </c>
      <c r="B1190" s="1">
        <v>7443.28</v>
      </c>
      <c r="C1190" s="1">
        <v>25508.07</v>
      </c>
      <c r="D1190">
        <v>154.47999999999999</v>
      </c>
      <c r="E1190">
        <v>6516.27</v>
      </c>
      <c r="F1190">
        <v>749.64</v>
      </c>
      <c r="G1190">
        <v>81.704400000000007</v>
      </c>
      <c r="H1190">
        <v>93.220500000000001</v>
      </c>
      <c r="I1190" s="3">
        <v>2.75</v>
      </c>
      <c r="J1190" s="3">
        <v>2.698</v>
      </c>
      <c r="K1190" s="3">
        <v>3.57</v>
      </c>
      <c r="L1190" s="3">
        <v>2.726</v>
      </c>
    </row>
    <row r="1191" spans="1:12" x14ac:dyDescent="0.3">
      <c r="A1191" s="2">
        <v>46224</v>
      </c>
      <c r="B1191" s="1">
        <v>7509.2</v>
      </c>
      <c r="C1191" s="1">
        <v>25837.21</v>
      </c>
      <c r="D1191">
        <v>156.29</v>
      </c>
      <c r="E1191">
        <v>6747.95</v>
      </c>
      <c r="F1191">
        <v>753.34</v>
      </c>
      <c r="G1191">
        <v>81.639600000000002</v>
      </c>
      <c r="H1191">
        <v>92.991299999999995</v>
      </c>
      <c r="I1191" s="3">
        <v>2.75</v>
      </c>
      <c r="J1191" s="3">
        <v>2.6789999999999998</v>
      </c>
      <c r="K1191" s="3">
        <v>3.61</v>
      </c>
      <c r="L1191" s="3">
        <v>2.6880000000000002</v>
      </c>
    </row>
    <row r="1192" spans="1:12" x14ac:dyDescent="0.3">
      <c r="A1192" s="2">
        <v>46225</v>
      </c>
      <c r="B1192" s="1">
        <v>7498.96</v>
      </c>
      <c r="C1192" s="1">
        <v>25690.9</v>
      </c>
      <c r="D1192">
        <v>156.19</v>
      </c>
      <c r="E1192">
        <v>6797.7</v>
      </c>
      <c r="F1192">
        <v>751.09</v>
      </c>
      <c r="G1192">
        <v>81.579800000000006</v>
      </c>
      <c r="H1192">
        <v>92.781999999999996</v>
      </c>
      <c r="I1192" s="3">
        <v>2.75</v>
      </c>
      <c r="J1192" s="3">
        <v>2.6760000000000002</v>
      </c>
      <c r="K1192" s="3">
        <v>3.62</v>
      </c>
      <c r="L1192" s="3">
        <v>2.6859999999999999</v>
      </c>
    </row>
    <row r="1193" spans="1:12" x14ac:dyDescent="0.3">
      <c r="A1193" s="2">
        <v>46226</v>
      </c>
      <c r="B1193" s="1">
        <v>7408.3</v>
      </c>
      <c r="C1193" s="1">
        <v>25137.69</v>
      </c>
      <c r="D1193">
        <v>154.34</v>
      </c>
      <c r="E1193">
        <v>7096.89</v>
      </c>
      <c r="F1193">
        <v>790.28</v>
      </c>
      <c r="G1193">
        <v>81.519900000000007</v>
      </c>
      <c r="H1193">
        <v>92.532799999999995</v>
      </c>
      <c r="I1193" s="3">
        <v>2.75</v>
      </c>
      <c r="J1193" s="3">
        <v>2.6680000000000001</v>
      </c>
      <c r="K1193" s="3">
        <v>3.64</v>
      </c>
      <c r="L1193" s="3">
        <v>2.6749999999999998</v>
      </c>
    </row>
    <row r="1194" spans="1:12" x14ac:dyDescent="0.3">
      <c r="A1194" s="2">
        <v>46227</v>
      </c>
      <c r="B1194" s="1">
        <v>7411.98</v>
      </c>
      <c r="C1194" s="1">
        <v>24975.82</v>
      </c>
      <c r="D1194">
        <v>154.30000000000001</v>
      </c>
      <c r="E1194">
        <v>6690.62</v>
      </c>
      <c r="F1194">
        <v>748.22</v>
      </c>
      <c r="G1194">
        <v>81.599699999999999</v>
      </c>
      <c r="H1194">
        <v>92.712199999999996</v>
      </c>
      <c r="I1194" s="3">
        <v>2.75</v>
      </c>
      <c r="J1194" s="3">
        <v>2.6720000000000002</v>
      </c>
      <c r="K1194" s="3">
        <v>3.64</v>
      </c>
      <c r="L1194" s="3">
        <v>2.69</v>
      </c>
    </row>
    <row r="1195" spans="1:12" x14ac:dyDescent="0.3">
      <c r="A1195" s="2">
        <v>46230</v>
      </c>
      <c r="B1195" s="1">
        <v>7413.18</v>
      </c>
      <c r="C1195" s="1">
        <v>24932.080000000002</v>
      </c>
      <c r="D1195">
        <v>154.61000000000001</v>
      </c>
      <c r="E1195">
        <v>6755.75</v>
      </c>
      <c r="F1195">
        <v>764.86</v>
      </c>
      <c r="G1195">
        <v>81.619600000000005</v>
      </c>
      <c r="H1195">
        <v>92.961399999999998</v>
      </c>
      <c r="I1195" s="3">
        <v>2.75</v>
      </c>
      <c r="J1195" s="3">
        <v>2.6819999999999999</v>
      </c>
      <c r="K1195" s="3">
        <v>3.64</v>
      </c>
      <c r="L1195" s="3">
        <v>2.7130000000000001</v>
      </c>
    </row>
    <row r="1196" spans="1:12" x14ac:dyDescent="0.3">
      <c r="A1196" s="2">
        <v>46231</v>
      </c>
      <c r="B1196" s="1">
        <v>7428.78</v>
      </c>
      <c r="C1196" s="1">
        <v>24876.91</v>
      </c>
      <c r="D1196">
        <v>154.54</v>
      </c>
      <c r="E1196">
        <v>6023.66</v>
      </c>
      <c r="F1196">
        <v>705.85</v>
      </c>
      <c r="G1196">
        <v>81.689400000000006</v>
      </c>
      <c r="H1196">
        <v>93.240399999999994</v>
      </c>
      <c r="I1196" s="3">
        <v>2.75</v>
      </c>
      <c r="J1196" s="3">
        <v>2.677</v>
      </c>
      <c r="K1196" s="3">
        <v>3.65</v>
      </c>
      <c r="L1196" s="3">
        <v>2.702</v>
      </c>
    </row>
    <row r="1197" spans="1:12" x14ac:dyDescent="0.3">
      <c r="A1197" s="2">
        <v>46232</v>
      </c>
      <c r="B1197" s="1">
        <v>7316.15</v>
      </c>
      <c r="C1197" s="1">
        <v>24442.94</v>
      </c>
      <c r="D1197">
        <v>152.47</v>
      </c>
      <c r="E1197">
        <v>5663.24</v>
      </c>
      <c r="F1197">
        <v>662.68</v>
      </c>
      <c r="G1197">
        <v>81.7393</v>
      </c>
      <c r="H1197">
        <v>92.851699999999994</v>
      </c>
      <c r="I1197" s="3">
        <v>2.75</v>
      </c>
      <c r="J1197" s="3">
        <v>2.6739999999999999</v>
      </c>
      <c r="K1197" s="3">
        <v>3.65</v>
      </c>
      <c r="L1197" s="3">
        <v>2.7440000000000002</v>
      </c>
    </row>
    <row r="1198" spans="1:12" x14ac:dyDescent="0.3">
      <c r="A1198" s="2">
        <v>46233</v>
      </c>
      <c r="B1198" s="1">
        <v>7437.63</v>
      </c>
      <c r="C1198" s="1">
        <v>25122.18</v>
      </c>
      <c r="D1198">
        <v>155.66</v>
      </c>
      <c r="E1198">
        <v>5593.56</v>
      </c>
      <c r="F1198">
        <v>644.78</v>
      </c>
      <c r="G1198">
        <v>81.759200000000007</v>
      </c>
      <c r="H1198">
        <v>92.891599999999997</v>
      </c>
      <c r="I1198" s="3">
        <v>2.75</v>
      </c>
      <c r="J1198" s="3">
        <v>2.706</v>
      </c>
      <c r="K1198" s="3">
        <v>3.65</v>
      </c>
      <c r="L1198" s="3">
        <v>2.7629999999999999</v>
      </c>
    </row>
    <row r="1199" spans="1:12" x14ac:dyDescent="0.3">
      <c r="A1199" s="2">
        <v>46234</v>
      </c>
      <c r="B1199" s="1">
        <v>7489.72</v>
      </c>
      <c r="C1199" s="1">
        <v>25373.85</v>
      </c>
      <c r="D1199">
        <v>156.43</v>
      </c>
      <c r="E1199">
        <v>6595.45</v>
      </c>
      <c r="F1199">
        <v>719.76</v>
      </c>
      <c r="G1199">
        <v>81.749200000000002</v>
      </c>
      <c r="H1199">
        <v>92.632499999999993</v>
      </c>
      <c r="I1199" s="3">
        <v>2.75</v>
      </c>
      <c r="J1199" s="3">
        <v>2.7810000000000001</v>
      </c>
      <c r="K1199" s="3">
        <v>3.66</v>
      </c>
      <c r="L1199" s="3">
        <v>2.8149999999999999</v>
      </c>
    </row>
    <row r="1200" spans="1:12" x14ac:dyDescent="0.3">
      <c r="A1200" s="2">
        <v>46237</v>
      </c>
      <c r="B1200" s="1">
        <v>7600.5</v>
      </c>
      <c r="C1200" s="1">
        <v>25913.9</v>
      </c>
      <c r="D1200">
        <v>157.94</v>
      </c>
      <c r="E1200">
        <v>6257.45</v>
      </c>
      <c r="F1200">
        <v>737.35</v>
      </c>
      <c r="G1200">
        <v>81.77</v>
      </c>
      <c r="H1200">
        <v>92.82</v>
      </c>
      <c r="I1200" s="3">
        <v>2.75</v>
      </c>
      <c r="J1200" s="3">
        <v>2.786</v>
      </c>
      <c r="K1200" s="3">
        <v>3.65</v>
      </c>
      <c r="L1200" s="3">
        <v>2.7890000000000001</v>
      </c>
    </row>
    <row r="1201" spans="1:12" x14ac:dyDescent="0.3">
      <c r="A1201" s="2">
        <v>46238</v>
      </c>
      <c r="B1201" s="1">
        <v>7736.52</v>
      </c>
      <c r="C1201" s="1">
        <v>26584.99</v>
      </c>
      <c r="D1201">
        <v>160.63</v>
      </c>
      <c r="E1201">
        <v>6358.95</v>
      </c>
      <c r="F1201">
        <v>780.72</v>
      </c>
      <c r="G1201">
        <v>81.87</v>
      </c>
      <c r="H1201">
        <v>93.25</v>
      </c>
      <c r="I1201" s="3">
        <v>2.75</v>
      </c>
      <c r="J1201" s="3">
        <v>2.774</v>
      </c>
      <c r="K1201" s="3">
        <v>3.66</v>
      </c>
      <c r="L1201" s="3">
        <v>2.7410000000000001</v>
      </c>
    </row>
    <row r="1202" spans="1:12" x14ac:dyDescent="0.3">
      <c r="A1202" s="2">
        <v>46239</v>
      </c>
      <c r="B1202" s="1">
        <v>7723.55</v>
      </c>
      <c r="C1202" s="1">
        <v>26363.439999999999</v>
      </c>
      <c r="D1202">
        <v>160.5</v>
      </c>
      <c r="E1202">
        <v>6598.26</v>
      </c>
      <c r="F1202">
        <v>799.59</v>
      </c>
      <c r="G1202">
        <v>81.900000000000006</v>
      </c>
      <c r="H1202">
        <v>93.31</v>
      </c>
      <c r="I1202" s="3">
        <v>2.75</v>
      </c>
      <c r="J1202" s="3">
        <v>2.7709999999999999</v>
      </c>
      <c r="K1202" s="3">
        <v>3.64</v>
      </c>
      <c r="L1202" s="3">
        <v>2.7309999999999999</v>
      </c>
    </row>
    <row r="1203" spans="1:12" x14ac:dyDescent="0.3">
      <c r="A1203" s="2">
        <v>46240</v>
      </c>
      <c r="B1203" s="1">
        <v>7709.96</v>
      </c>
      <c r="C1203" s="1">
        <v>26348.35</v>
      </c>
      <c r="D1203">
        <v>160.1</v>
      </c>
      <c r="E1203">
        <v>6296.38</v>
      </c>
      <c r="F1203">
        <v>801.67</v>
      </c>
      <c r="G1203">
        <v>81.8</v>
      </c>
      <c r="H1203">
        <v>92.95</v>
      </c>
      <c r="I1203" s="3">
        <v>2.75</v>
      </c>
      <c r="J1203" s="3">
        <v>2.754</v>
      </c>
      <c r="K1203" s="3">
        <v>3.65</v>
      </c>
      <c r="L1203" s="3">
        <v>2.7690000000000001</v>
      </c>
    </row>
    <row r="1204" spans="1:12" x14ac:dyDescent="0.3">
      <c r="A1204" s="2">
        <v>46241</v>
      </c>
      <c r="B1204" s="1">
        <v>7757.64</v>
      </c>
      <c r="C1204" s="1">
        <v>26690.62</v>
      </c>
      <c r="D1204">
        <v>161.44</v>
      </c>
      <c r="E1204">
        <v>6258.77</v>
      </c>
      <c r="F1204">
        <v>798.81</v>
      </c>
      <c r="G1204">
        <v>81.92</v>
      </c>
      <c r="H1204">
        <v>93.17</v>
      </c>
      <c r="I1204" s="3">
        <v>2.75</v>
      </c>
      <c r="J1204" s="3">
        <v>2.7330000000000001</v>
      </c>
      <c r="K1204" s="3">
        <v>3.62</v>
      </c>
      <c r="L1204" s="3">
        <v>2.78</v>
      </c>
    </row>
    <row r="1205" spans="1:12" x14ac:dyDescent="0.3">
      <c r="A1205" s="2">
        <v>46244</v>
      </c>
      <c r="B1205" s="1">
        <v>7753.11</v>
      </c>
      <c r="C1205" s="1">
        <v>26605.360000000001</v>
      </c>
      <c r="D1205">
        <v>161.1</v>
      </c>
      <c r="E1205">
        <v>6299.66</v>
      </c>
      <c r="F1205">
        <v>854.47</v>
      </c>
      <c r="G1205">
        <v>81.855000000000004</v>
      </c>
      <c r="H1205">
        <v>92.76</v>
      </c>
      <c r="I1205" s="3">
        <v>2.75</v>
      </c>
      <c r="J1205" s="3">
        <v>2.7709999999999999</v>
      </c>
      <c r="K1205" s="3">
        <v>3.63</v>
      </c>
      <c r="L1205" s="3">
        <v>2.778</v>
      </c>
    </row>
    <row r="1206" spans="1:12" x14ac:dyDescent="0.3">
      <c r="A1206" s="2">
        <v>46245</v>
      </c>
      <c r="B1206" s="1">
        <v>7728.2</v>
      </c>
      <c r="C1206" s="1">
        <v>26445.45</v>
      </c>
      <c r="D1206">
        <v>160.88999999999999</v>
      </c>
      <c r="E1206">
        <v>6345.53</v>
      </c>
      <c r="F1206">
        <v>857.84</v>
      </c>
      <c r="G1206">
        <v>81.87</v>
      </c>
      <c r="H1206">
        <v>92.87</v>
      </c>
      <c r="I1206" s="3">
        <v>2.75</v>
      </c>
      <c r="J1206" s="3">
        <v>2.774</v>
      </c>
      <c r="K1206" s="3">
        <v>3.64</v>
      </c>
      <c r="L1206" s="3">
        <v>2.7770000000000001</v>
      </c>
    </row>
    <row r="1207" spans="1:12" x14ac:dyDescent="0.3">
      <c r="A1207" s="2">
        <v>46246</v>
      </c>
      <c r="B1207" s="1">
        <v>7748.5</v>
      </c>
      <c r="C1207" s="1">
        <v>26588.49</v>
      </c>
      <c r="D1207">
        <v>161.65</v>
      </c>
      <c r="E1207">
        <v>6579.04</v>
      </c>
      <c r="F1207">
        <v>858.91</v>
      </c>
      <c r="G1207">
        <v>81.92</v>
      </c>
      <c r="H1207">
        <v>92.96</v>
      </c>
      <c r="I1207" s="3">
        <v>2.75</v>
      </c>
      <c r="J1207" s="3">
        <v>2.7850000000000001</v>
      </c>
      <c r="K1207" s="3">
        <v>3.62</v>
      </c>
      <c r="L1207" s="3">
        <v>2.7810000000000001</v>
      </c>
    </row>
    <row r="1208" spans="1:12" x14ac:dyDescent="0.3">
      <c r="A1208" s="2">
        <v>46247</v>
      </c>
      <c r="B1208" s="1">
        <v>7798.99</v>
      </c>
      <c r="C1208" s="1">
        <v>26803.03</v>
      </c>
      <c r="D1208">
        <v>162.47999999999999</v>
      </c>
      <c r="E1208">
        <v>6813.34</v>
      </c>
      <c r="F1208">
        <v>861.37</v>
      </c>
      <c r="G1208">
        <v>82.03</v>
      </c>
      <c r="H1208">
        <v>93.3</v>
      </c>
      <c r="I1208" s="3">
        <v>2.75</v>
      </c>
      <c r="J1208" s="3">
        <v>2.7679999999999998</v>
      </c>
      <c r="K1208" s="3">
        <v>3.62</v>
      </c>
      <c r="L1208" s="3">
        <v>2.7690000000000001</v>
      </c>
    </row>
    <row r="1209" spans="1:12" x14ac:dyDescent="0.3">
      <c r="A1209" s="2">
        <v>46248</v>
      </c>
      <c r="B1209" s="1">
        <v>7785.76</v>
      </c>
      <c r="C1209" s="1">
        <v>26729.16</v>
      </c>
      <c r="D1209">
        <v>162.29</v>
      </c>
      <c r="E1209">
        <v>6977.94</v>
      </c>
      <c r="F1209">
        <v>864.65</v>
      </c>
      <c r="G1209">
        <v>82</v>
      </c>
      <c r="H1209">
        <v>93.04</v>
      </c>
      <c r="I1209" s="3">
        <v>2.75</v>
      </c>
      <c r="J1209" s="3">
        <v>2.746</v>
      </c>
      <c r="K1209" s="3">
        <v>3.62</v>
      </c>
      <c r="L1209" s="3">
        <v>2.7759999999999998</v>
      </c>
    </row>
    <row r="1210" spans="1:12" x14ac:dyDescent="0.3">
      <c r="A1210" s="2">
        <v>46251</v>
      </c>
      <c r="B1210" s="1">
        <v>7745.06</v>
      </c>
      <c r="C1210" s="1">
        <v>26644.91</v>
      </c>
      <c r="D1210">
        <v>161.83000000000001</v>
      </c>
      <c r="E1210">
        <v>6977.94</v>
      </c>
      <c r="F1210">
        <v>864.65</v>
      </c>
      <c r="G1210">
        <v>82</v>
      </c>
      <c r="H1210">
        <v>92.84</v>
      </c>
      <c r="I1210" s="3">
        <v>2.75</v>
      </c>
      <c r="J1210" s="3">
        <v>2.746</v>
      </c>
      <c r="K1210" s="3">
        <v>3.66</v>
      </c>
      <c r="L1210" s="3">
        <v>2.7759999999999998</v>
      </c>
    </row>
    <row r="1211" spans="1:12" x14ac:dyDescent="0.3">
      <c r="A1211" s="2">
        <v>46252</v>
      </c>
      <c r="B1211" s="1">
        <v>7691.76</v>
      </c>
      <c r="C1211" s="1">
        <v>26289.71</v>
      </c>
      <c r="D1211">
        <v>160.08000000000001</v>
      </c>
      <c r="E1211">
        <v>6869.83</v>
      </c>
      <c r="F1211">
        <v>834.2</v>
      </c>
      <c r="G1211">
        <v>82.02</v>
      </c>
      <c r="H1211">
        <v>92.93</v>
      </c>
      <c r="I1211" s="3">
        <v>2.75</v>
      </c>
      <c r="J1211" s="3">
        <v>2.738</v>
      </c>
      <c r="K1211" s="3">
        <v>3.65</v>
      </c>
      <c r="L1211" s="3">
        <v>2.774</v>
      </c>
    </row>
    <row r="1212" spans="1:12" x14ac:dyDescent="0.3">
      <c r="A1212" s="2">
        <v>46253</v>
      </c>
      <c r="B1212" s="1">
        <v>7707.98</v>
      </c>
      <c r="C1212" s="1">
        <v>26331.09</v>
      </c>
      <c r="D1212">
        <v>160.69999999999999</v>
      </c>
      <c r="E1212">
        <v>6471.17</v>
      </c>
      <c r="F1212">
        <v>824.46</v>
      </c>
      <c r="G1212">
        <v>82.06</v>
      </c>
      <c r="H1212">
        <v>93.38</v>
      </c>
      <c r="I1212" s="3">
        <v>2.75</v>
      </c>
      <c r="J1212" s="3">
        <v>2.7370000000000001</v>
      </c>
      <c r="K1212" s="3">
        <v>3.62</v>
      </c>
      <c r="L1212" s="3">
        <v>2.7669999999999999</v>
      </c>
    </row>
    <row r="1213" spans="1:12" x14ac:dyDescent="0.3">
      <c r="A1213" s="2">
        <v>46254</v>
      </c>
      <c r="B1213" s="1">
        <v>7641.16</v>
      </c>
      <c r="C1213" s="1">
        <v>26067.17</v>
      </c>
      <c r="D1213">
        <v>159.97</v>
      </c>
      <c r="E1213">
        <v>6852.58</v>
      </c>
      <c r="F1213">
        <v>840.89</v>
      </c>
      <c r="G1213">
        <v>82.02</v>
      </c>
      <c r="H1213">
        <v>93</v>
      </c>
      <c r="I1213" s="3">
        <v>2.75</v>
      </c>
      <c r="J1213" s="3">
        <v>2.726</v>
      </c>
      <c r="K1213" s="3">
        <v>3.63</v>
      </c>
      <c r="L1213" s="3">
        <v>2.758</v>
      </c>
    </row>
    <row r="1214" spans="1:12" x14ac:dyDescent="0.3">
      <c r="A1214" s="2">
        <v>46255</v>
      </c>
      <c r="B1214" s="1">
        <v>7674.37</v>
      </c>
      <c r="C1214" s="1">
        <v>26180.46</v>
      </c>
      <c r="D1214">
        <v>160.81</v>
      </c>
      <c r="E1214">
        <v>6912.95</v>
      </c>
      <c r="F1214">
        <v>801.94</v>
      </c>
      <c r="G1214">
        <v>82</v>
      </c>
      <c r="H1214">
        <v>92.82</v>
      </c>
      <c r="I1214" s="3">
        <v>2.75</v>
      </c>
      <c r="J1214" s="3">
        <v>2.7269999999999999</v>
      </c>
      <c r="K1214" s="3">
        <v>3.65</v>
      </c>
      <c r="L1214" s="3">
        <v>2.76</v>
      </c>
    </row>
    <row r="1215" spans="1:12" x14ac:dyDescent="0.3">
      <c r="A1215" s="2">
        <v>46258</v>
      </c>
      <c r="B1215" s="1">
        <v>7652.86</v>
      </c>
      <c r="C1215" s="1">
        <v>25980.19</v>
      </c>
      <c r="D1215">
        <v>160.19999999999999</v>
      </c>
      <c r="E1215">
        <v>6696.96</v>
      </c>
      <c r="F1215">
        <v>813.33</v>
      </c>
      <c r="G1215">
        <v>81.995000000000005</v>
      </c>
      <c r="H1215">
        <v>93.01</v>
      </c>
      <c r="I1215" s="3">
        <v>2.75</v>
      </c>
      <c r="J1215" s="3">
        <v>2.74</v>
      </c>
      <c r="K1215" s="3">
        <v>3.65</v>
      </c>
      <c r="L1215" s="3">
        <v>2.7650000000000001</v>
      </c>
    </row>
    <row r="1216" spans="1:12" x14ac:dyDescent="0.3">
      <c r="A1216" s="2">
        <v>46259</v>
      </c>
      <c r="B1216" s="1">
        <v>7677.28</v>
      </c>
      <c r="C1216" s="1">
        <v>26151.3</v>
      </c>
      <c r="D1216">
        <v>161.08000000000001</v>
      </c>
      <c r="E1216">
        <v>6742.74</v>
      </c>
      <c r="F1216">
        <v>827.15</v>
      </c>
      <c r="G1216">
        <v>82.08</v>
      </c>
      <c r="H1216">
        <v>93.51</v>
      </c>
      <c r="I1216" s="3">
        <v>2.75</v>
      </c>
      <c r="J1216" s="3">
        <v>2.74</v>
      </c>
      <c r="K1216" s="3">
        <v>3.66</v>
      </c>
      <c r="L1216" s="3">
        <v>2.7709999999999999</v>
      </c>
    </row>
    <row r="1217" spans="1:12" x14ac:dyDescent="0.3">
      <c r="A1217" s="2">
        <v>46260</v>
      </c>
      <c r="B1217" s="1">
        <v>7675.7</v>
      </c>
      <c r="C1217" s="1">
        <v>26130.2</v>
      </c>
      <c r="D1217">
        <v>160.9</v>
      </c>
      <c r="E1217">
        <v>6808.21</v>
      </c>
      <c r="F1217">
        <v>826.87</v>
      </c>
      <c r="G1217">
        <v>82.05</v>
      </c>
      <c r="H1217">
        <v>93.32</v>
      </c>
      <c r="I1217" s="3">
        <v>2.75</v>
      </c>
      <c r="J1217" s="3">
        <v>2.738</v>
      </c>
      <c r="K1217" s="3">
        <v>3.66</v>
      </c>
      <c r="L1217" s="3">
        <v>2.7709999999999999</v>
      </c>
    </row>
    <row r="1218" spans="1:12" x14ac:dyDescent="0.3">
      <c r="B1218" s="1"/>
      <c r="C1218" s="1"/>
      <c r="I1218" s="3"/>
      <c r="J1218" s="3"/>
      <c r="K1218" s="3"/>
      <c r="L1218" s="3"/>
    </row>
    <row r="1219" spans="1:12" x14ac:dyDescent="0.3">
      <c r="B1219" s="1"/>
      <c r="C1219" s="1"/>
      <c r="I1219" s="3"/>
      <c r="J1219" s="3"/>
      <c r="K1219" s="3"/>
      <c r="L1219" s="3"/>
    </row>
    <row r="1220" spans="1:12" x14ac:dyDescent="0.3">
      <c r="B1220" s="1"/>
      <c r="C1220" s="1"/>
      <c r="I1220" s="3"/>
      <c r="J1220" s="3"/>
      <c r="K1220" s="3"/>
      <c r="L1220" s="3"/>
    </row>
    <row r="1221" spans="1:12" x14ac:dyDescent="0.3">
      <c r="B1221" s="1"/>
      <c r="C1221" s="1"/>
      <c r="I1221" s="3"/>
      <c r="J1221" s="3"/>
      <c r="K1221" s="3"/>
      <c r="L1221" s="3"/>
    </row>
    <row r="1222" spans="1:12" x14ac:dyDescent="0.3">
      <c r="B1222" s="1"/>
      <c r="C1222" s="1"/>
      <c r="I1222" s="3"/>
      <c r="J1222" s="3"/>
      <c r="K1222" s="3"/>
      <c r="L1222" s="3"/>
    </row>
    <row r="1223" spans="1:12" x14ac:dyDescent="0.3">
      <c r="B1223" s="1"/>
      <c r="C1223" s="1"/>
      <c r="I1223" s="3"/>
      <c r="J1223" s="3"/>
      <c r="K1223" s="3"/>
      <c r="L1223" s="3"/>
    </row>
    <row r="1224" spans="1:12" x14ac:dyDescent="0.3">
      <c r="B1224" s="1"/>
      <c r="C1224" s="1"/>
      <c r="I1224" s="3"/>
      <c r="J1224" s="3"/>
      <c r="K1224" s="3"/>
      <c r="L1224" s="3"/>
    </row>
    <row r="1225" spans="1:12" x14ac:dyDescent="0.3">
      <c r="B1225" s="1"/>
      <c r="C1225" s="1"/>
      <c r="I1225" s="3"/>
      <c r="J1225" s="3"/>
      <c r="K1225" s="3"/>
      <c r="L1225" s="3"/>
    </row>
    <row r="1226" spans="1:12" x14ac:dyDescent="0.3">
      <c r="B1226" s="1"/>
      <c r="C1226" s="1"/>
      <c r="I1226" s="3"/>
      <c r="J1226" s="3"/>
      <c r="K1226" s="3"/>
      <c r="L1226" s="3"/>
    </row>
    <row r="1227" spans="1:12" x14ac:dyDescent="0.3">
      <c r="B1227" s="1"/>
      <c r="C1227" s="1"/>
      <c r="I1227" s="3"/>
      <c r="J1227" s="3"/>
      <c r="K1227" s="3"/>
      <c r="L1227" s="3"/>
    </row>
    <row r="1228" spans="1:12" x14ac:dyDescent="0.3">
      <c r="B1228" s="1"/>
      <c r="C1228" s="1"/>
      <c r="I1228" s="3"/>
      <c r="J1228" s="3"/>
      <c r="K1228" s="3"/>
      <c r="L1228" s="3"/>
    </row>
    <row r="1229" spans="1:12" x14ac:dyDescent="0.3">
      <c r="B1229" s="1"/>
      <c r="C1229" s="1"/>
      <c r="I1229" s="3"/>
      <c r="J1229" s="3"/>
      <c r="K1229" s="3"/>
      <c r="L1229" s="3"/>
    </row>
    <row r="1230" spans="1:12" x14ac:dyDescent="0.3">
      <c r="B1230" s="1"/>
      <c r="C1230" s="1"/>
      <c r="I1230" s="3"/>
      <c r="J1230" s="3"/>
      <c r="K1230" s="3"/>
      <c r="L1230" s="3"/>
    </row>
    <row r="1231" spans="1:12" x14ac:dyDescent="0.3">
      <c r="B1231" s="1"/>
      <c r="C1231" s="1"/>
      <c r="I1231" s="3"/>
      <c r="J1231" s="3"/>
      <c r="K1231" s="3"/>
      <c r="L1231" s="3"/>
    </row>
    <row r="1232" spans="1:12" x14ac:dyDescent="0.3">
      <c r="B1232" s="1"/>
      <c r="C1232" s="1"/>
      <c r="I1232" s="3"/>
      <c r="J1232" s="3"/>
      <c r="K1232" s="3"/>
      <c r="L1232" s="3"/>
    </row>
    <row r="1233" spans="2:12" x14ac:dyDescent="0.3">
      <c r="B1233" s="1"/>
      <c r="C1233" s="1"/>
      <c r="I1233" s="3"/>
      <c r="J1233" s="3"/>
      <c r="K1233" s="3"/>
      <c r="L1233" s="3"/>
    </row>
    <row r="1234" spans="2:12" x14ac:dyDescent="0.3">
      <c r="B1234" s="1"/>
      <c r="C1234" s="1"/>
      <c r="I1234" s="3"/>
      <c r="J1234" s="3"/>
      <c r="K1234" s="3"/>
      <c r="L1234" s="3"/>
    </row>
    <row r="1235" spans="2:12" x14ac:dyDescent="0.3">
      <c r="B1235" s="1"/>
      <c r="C1235" s="1"/>
      <c r="I1235" s="3"/>
      <c r="J1235" s="3"/>
      <c r="K1235" s="3"/>
      <c r="L1235" s="3"/>
    </row>
    <row r="1236" spans="2:12" x14ac:dyDescent="0.3">
      <c r="B1236" s="1"/>
      <c r="C1236" s="1"/>
      <c r="I1236" s="3"/>
      <c r="J1236" s="3"/>
      <c r="K1236" s="3"/>
      <c r="L1236" s="3"/>
    </row>
    <row r="1237" spans="2:12" x14ac:dyDescent="0.3">
      <c r="B1237" s="1"/>
      <c r="C1237" s="1"/>
      <c r="I1237" s="3"/>
      <c r="J1237" s="3"/>
      <c r="K1237" s="3"/>
      <c r="L1237" s="3"/>
    </row>
    <row r="1238" spans="2:12" x14ac:dyDescent="0.3">
      <c r="B1238" s="1"/>
      <c r="C1238" s="1"/>
      <c r="I1238" s="3"/>
      <c r="J1238" s="3"/>
      <c r="K1238" s="3"/>
      <c r="L1238" s="3"/>
    </row>
    <row r="1239" spans="2:12" x14ac:dyDescent="0.3">
      <c r="B1239" s="1"/>
      <c r="C1239" s="1"/>
      <c r="I1239" s="3"/>
      <c r="J1239" s="3"/>
      <c r="K1239" s="3"/>
      <c r="L1239" s="3"/>
    </row>
    <row r="1240" spans="2:12" x14ac:dyDescent="0.3">
      <c r="B1240" s="1"/>
      <c r="C1240" s="1"/>
      <c r="I1240" s="3"/>
      <c r="J1240" s="3"/>
      <c r="K1240" s="3"/>
      <c r="L1240" s="3"/>
    </row>
    <row r="1241" spans="2:12" x14ac:dyDescent="0.3">
      <c r="B1241" s="1"/>
      <c r="C1241" s="1"/>
      <c r="I1241" s="3"/>
      <c r="J1241" s="3"/>
      <c r="K1241" s="3"/>
      <c r="L1241" s="3"/>
    </row>
    <row r="1242" spans="2:12" x14ac:dyDescent="0.3">
      <c r="B1242" s="1"/>
      <c r="C1242" s="1"/>
      <c r="I1242" s="3"/>
      <c r="J1242" s="3"/>
      <c r="K1242" s="3"/>
      <c r="L1242" s="3"/>
    </row>
    <row r="1243" spans="2:12" x14ac:dyDescent="0.3">
      <c r="B1243" s="1"/>
      <c r="C1243" s="1"/>
      <c r="I1243" s="3"/>
      <c r="J1243" s="3"/>
      <c r="K1243" s="3"/>
      <c r="L1243" s="3"/>
    </row>
    <row r="1244" spans="2:12" x14ac:dyDescent="0.3">
      <c r="B1244" s="1"/>
      <c r="C1244" s="1"/>
      <c r="I1244" s="3"/>
      <c r="J1244" s="3"/>
      <c r="K1244" s="3"/>
      <c r="L1244" s="3"/>
    </row>
    <row r="1245" spans="2:12" x14ac:dyDescent="0.3">
      <c r="B1245" s="1"/>
      <c r="C1245" s="1"/>
      <c r="I1245" s="3"/>
      <c r="J1245" s="3"/>
      <c r="K1245" s="3"/>
      <c r="L1245" s="3"/>
    </row>
    <row r="1246" spans="2:12" x14ac:dyDescent="0.3">
      <c r="B1246" s="1"/>
      <c r="C1246" s="1"/>
      <c r="I1246" s="3"/>
      <c r="J1246" s="3"/>
      <c r="K1246" s="3"/>
      <c r="L1246" s="3"/>
    </row>
    <row r="1247" spans="2:12" x14ac:dyDescent="0.3">
      <c r="B1247" s="1"/>
      <c r="C1247" s="1"/>
      <c r="I1247" s="3"/>
      <c r="J1247" s="3"/>
      <c r="K1247" s="3"/>
      <c r="L1247" s="3"/>
    </row>
    <row r="1248" spans="2:12" x14ac:dyDescent="0.3">
      <c r="B1248" s="1"/>
      <c r="C1248" s="1"/>
      <c r="I1248" s="3"/>
      <c r="J1248" s="3"/>
      <c r="K1248" s="3"/>
      <c r="L1248" s="3"/>
    </row>
    <row r="1249" spans="2:12" x14ac:dyDescent="0.3">
      <c r="B1249" s="1"/>
      <c r="C1249" s="1"/>
      <c r="I1249" s="3"/>
      <c r="J1249" s="3"/>
      <c r="K1249" s="3"/>
      <c r="L1249" s="3"/>
    </row>
    <row r="1250" spans="2:12" x14ac:dyDescent="0.3">
      <c r="B1250" s="1"/>
      <c r="C1250" s="1"/>
      <c r="I1250" s="3"/>
      <c r="J1250" s="3"/>
      <c r="K1250" s="3"/>
      <c r="L1250" s="3"/>
    </row>
    <row r="1251" spans="2:12" x14ac:dyDescent="0.3">
      <c r="B1251" s="1"/>
      <c r="C1251" s="1"/>
      <c r="I1251" s="3"/>
      <c r="J1251" s="3"/>
      <c r="K1251" s="3"/>
      <c r="L1251" s="3"/>
    </row>
    <row r="1252" spans="2:12" x14ac:dyDescent="0.3">
      <c r="B1252" s="1"/>
      <c r="C1252" s="1"/>
      <c r="I1252" s="3"/>
      <c r="J1252" s="3"/>
      <c r="K1252" s="3"/>
      <c r="L1252" s="3"/>
    </row>
    <row r="1253" spans="2:12" x14ac:dyDescent="0.3">
      <c r="B1253" s="1"/>
      <c r="C1253" s="1"/>
      <c r="I1253" s="3"/>
      <c r="J1253" s="3"/>
      <c r="K1253" s="3"/>
      <c r="L1253" s="3"/>
    </row>
    <row r="1254" spans="2:12" x14ac:dyDescent="0.3">
      <c r="B1254" s="1"/>
      <c r="C1254" s="1"/>
      <c r="I1254" s="3"/>
      <c r="J1254" s="3"/>
      <c r="K1254" s="3"/>
      <c r="L1254" s="3"/>
    </row>
    <row r="1255" spans="2:12" x14ac:dyDescent="0.3">
      <c r="B1255" s="1"/>
      <c r="C1255" s="1"/>
      <c r="I1255" s="3"/>
      <c r="J1255" s="3"/>
      <c r="K1255" s="3"/>
      <c r="L1255" s="3"/>
    </row>
    <row r="1256" spans="2:12" x14ac:dyDescent="0.3">
      <c r="B1256" s="1"/>
      <c r="C1256" s="1"/>
      <c r="I1256" s="3"/>
      <c r="J1256" s="3"/>
      <c r="K1256" s="3"/>
      <c r="L1256" s="3"/>
    </row>
    <row r="1257" spans="2:12" x14ac:dyDescent="0.3">
      <c r="B1257" s="1"/>
      <c r="C1257" s="1"/>
      <c r="I1257" s="3"/>
      <c r="J1257" s="3"/>
      <c r="K1257" s="3"/>
      <c r="L1257" s="3"/>
    </row>
    <row r="1258" spans="2:12" x14ac:dyDescent="0.3">
      <c r="B1258" s="1"/>
      <c r="C1258" s="1"/>
      <c r="I1258" s="3"/>
      <c r="J1258" s="3"/>
      <c r="K1258" s="3"/>
      <c r="L1258" s="3"/>
    </row>
    <row r="1259" spans="2:12" x14ac:dyDescent="0.3">
      <c r="B1259" s="1"/>
      <c r="C1259" s="1"/>
      <c r="I1259" s="3"/>
      <c r="J1259" s="3"/>
      <c r="K1259" s="3"/>
      <c r="L1259" s="3"/>
    </row>
    <row r="1260" spans="2:12" x14ac:dyDescent="0.3">
      <c r="B1260" s="1"/>
      <c r="C1260" s="1"/>
      <c r="I1260" s="3"/>
      <c r="J1260" s="3"/>
      <c r="K1260" s="3"/>
      <c r="L1260" s="3"/>
    </row>
    <row r="1261" spans="2:12" x14ac:dyDescent="0.3">
      <c r="B1261" s="1"/>
      <c r="C1261" s="1"/>
      <c r="I1261" s="3"/>
      <c r="J1261" s="3"/>
      <c r="K1261" s="3"/>
      <c r="L1261" s="3"/>
    </row>
    <row r="1262" spans="2:12" x14ac:dyDescent="0.3">
      <c r="B1262" s="1"/>
      <c r="C1262" s="1"/>
      <c r="I1262" s="3"/>
      <c r="J1262" s="3"/>
      <c r="K1262" s="3"/>
      <c r="L1262" s="3"/>
    </row>
    <row r="1263" spans="2:12" x14ac:dyDescent="0.3">
      <c r="B1263" s="1"/>
      <c r="C1263" s="1"/>
      <c r="I1263" s="3"/>
      <c r="J1263" s="3"/>
      <c r="K1263" s="3"/>
      <c r="L1263" s="3"/>
    </row>
    <row r="1264" spans="2:12" x14ac:dyDescent="0.3">
      <c r="B1264" s="1"/>
      <c r="C1264" s="1"/>
      <c r="I1264" s="3"/>
      <c r="J1264" s="3"/>
      <c r="K1264" s="3"/>
      <c r="L1264" s="3"/>
    </row>
    <row r="1265" spans="2:12" x14ac:dyDescent="0.3">
      <c r="B1265" s="1"/>
      <c r="C1265" s="1"/>
      <c r="I1265" s="3"/>
      <c r="J1265" s="3"/>
      <c r="K1265" s="3"/>
      <c r="L1265" s="3"/>
    </row>
    <row r="1266" spans="2:12" x14ac:dyDescent="0.3">
      <c r="B1266" s="1"/>
      <c r="C1266" s="1"/>
      <c r="I1266" s="3"/>
      <c r="J1266" s="3"/>
      <c r="K1266" s="3"/>
      <c r="L1266" s="3"/>
    </row>
    <row r="1267" spans="2:12" x14ac:dyDescent="0.3">
      <c r="B1267" s="1"/>
      <c r="C1267" s="1"/>
      <c r="I1267" s="3"/>
      <c r="J1267" s="3"/>
      <c r="K1267" s="3"/>
      <c r="L1267" s="3"/>
    </row>
    <row r="1268" spans="2:12" x14ac:dyDescent="0.3">
      <c r="B1268" s="1"/>
      <c r="C1268" s="1"/>
      <c r="I1268" s="3"/>
      <c r="J1268" s="3"/>
      <c r="K1268" s="3"/>
      <c r="L1268" s="3"/>
    </row>
    <row r="1269" spans="2:12" x14ac:dyDescent="0.3">
      <c r="B1269" s="1"/>
      <c r="C1269" s="1"/>
      <c r="I1269" s="3"/>
      <c r="J1269" s="3"/>
      <c r="K1269" s="3"/>
      <c r="L1269" s="3"/>
    </row>
    <row r="1270" spans="2:12" x14ac:dyDescent="0.3">
      <c r="B1270" s="1"/>
      <c r="C1270" s="1"/>
      <c r="I1270" s="3"/>
      <c r="J1270" s="3"/>
      <c r="K1270" s="3"/>
      <c r="L1270" s="3"/>
    </row>
    <row r="1271" spans="2:12" x14ac:dyDescent="0.3">
      <c r="B1271" s="1"/>
      <c r="C1271" s="1"/>
      <c r="I1271" s="3"/>
      <c r="J1271" s="3"/>
      <c r="K1271" s="3"/>
      <c r="L1271" s="3"/>
    </row>
    <row r="1272" spans="2:12" x14ac:dyDescent="0.3">
      <c r="B1272" s="1"/>
      <c r="C1272" s="1"/>
      <c r="I1272" s="3"/>
      <c r="J1272" s="3"/>
      <c r="K1272" s="3"/>
      <c r="L1272" s="3"/>
    </row>
    <row r="1273" spans="2:12" x14ac:dyDescent="0.3">
      <c r="B1273" s="1"/>
      <c r="C1273" s="1"/>
      <c r="I1273" s="3"/>
      <c r="J1273" s="3"/>
      <c r="K1273" s="3"/>
      <c r="L1273" s="3"/>
    </row>
    <row r="1274" spans="2:12" x14ac:dyDescent="0.3">
      <c r="B1274" s="1"/>
      <c r="C1274" s="1"/>
      <c r="I1274" s="3"/>
      <c r="J1274" s="3"/>
      <c r="K1274" s="3"/>
      <c r="L1274" s="3"/>
    </row>
    <row r="1275" spans="2:12" x14ac:dyDescent="0.3">
      <c r="B1275" s="1"/>
      <c r="C1275" s="1"/>
      <c r="I1275" s="3"/>
      <c r="J1275" s="3"/>
      <c r="K1275" s="3"/>
      <c r="L1275" s="3"/>
    </row>
    <row r="1276" spans="2:12" x14ac:dyDescent="0.3">
      <c r="B1276" s="1"/>
      <c r="C1276" s="1"/>
      <c r="I1276" s="3"/>
      <c r="J1276" s="3"/>
      <c r="K1276" s="3"/>
      <c r="L1276" s="3"/>
    </row>
    <row r="1277" spans="2:12" x14ac:dyDescent="0.3">
      <c r="B1277" s="1"/>
      <c r="C1277" s="1"/>
      <c r="I1277" s="3"/>
      <c r="J1277" s="3"/>
      <c r="K1277" s="3"/>
      <c r="L1277" s="3"/>
    </row>
    <row r="1278" spans="2:12" x14ac:dyDescent="0.3">
      <c r="B1278" s="1"/>
      <c r="C1278" s="1"/>
      <c r="I1278" s="3"/>
      <c r="J1278" s="3"/>
      <c r="K1278" s="3"/>
      <c r="L1278" s="3"/>
    </row>
    <row r="1279" spans="2:12" x14ac:dyDescent="0.3">
      <c r="B1279" s="1"/>
      <c r="C1279" s="1"/>
      <c r="I1279" s="3"/>
      <c r="J1279" s="3"/>
      <c r="K1279" s="3"/>
      <c r="L1279" s="3"/>
    </row>
    <row r="1280" spans="2:12" x14ac:dyDescent="0.3">
      <c r="B1280" s="1"/>
      <c r="C1280" s="1"/>
      <c r="I1280" s="3"/>
      <c r="J1280" s="3"/>
      <c r="K1280" s="3"/>
      <c r="L1280" s="3"/>
    </row>
    <row r="1281" spans="2:12" x14ac:dyDescent="0.3">
      <c r="B1281" s="1"/>
      <c r="C1281" s="1"/>
      <c r="I1281" s="3"/>
      <c r="J1281" s="3"/>
      <c r="K1281" s="3"/>
      <c r="L1281" s="3"/>
    </row>
    <row r="1282" spans="2:12" x14ac:dyDescent="0.3">
      <c r="B1282" s="1"/>
      <c r="C1282" s="1"/>
      <c r="I1282" s="3"/>
      <c r="J1282" s="3"/>
      <c r="K1282" s="3"/>
      <c r="L1282" s="3"/>
    </row>
    <row r="1283" spans="2:12" x14ac:dyDescent="0.3">
      <c r="B1283" s="1"/>
      <c r="C1283" s="1"/>
      <c r="I1283" s="3"/>
      <c r="J1283" s="3"/>
      <c r="K1283" s="3"/>
      <c r="L1283" s="3"/>
    </row>
    <row r="1284" spans="2:12" x14ac:dyDescent="0.3">
      <c r="B1284" s="1"/>
      <c r="C1284" s="1"/>
      <c r="I1284" s="3"/>
      <c r="J1284" s="3"/>
      <c r="K1284" s="3"/>
      <c r="L1284" s="3"/>
    </row>
    <row r="1285" spans="2:12" x14ac:dyDescent="0.3">
      <c r="B1285" s="1"/>
      <c r="C1285" s="1"/>
      <c r="I1285" s="3"/>
      <c r="J1285" s="3"/>
      <c r="K1285" s="3"/>
      <c r="L1285" s="3"/>
    </row>
    <row r="1286" spans="2:12" x14ac:dyDescent="0.3">
      <c r="B1286" s="1"/>
      <c r="C1286" s="1"/>
      <c r="I1286" s="3"/>
      <c r="J1286" s="3"/>
      <c r="K1286" s="3"/>
      <c r="L1286" s="3"/>
    </row>
    <row r="1287" spans="2:12" x14ac:dyDescent="0.3">
      <c r="B1287" s="1"/>
      <c r="C1287" s="1"/>
      <c r="I1287" s="3"/>
      <c r="J1287" s="3"/>
      <c r="K1287" s="3"/>
      <c r="L1287" s="3"/>
    </row>
    <row r="1288" spans="2:12" x14ac:dyDescent="0.3">
      <c r="B1288" s="1"/>
      <c r="C1288" s="1"/>
      <c r="I1288" s="3"/>
      <c r="J1288" s="3"/>
      <c r="K1288" s="3"/>
      <c r="L1288" s="3"/>
    </row>
    <row r="1289" spans="2:12" x14ac:dyDescent="0.3">
      <c r="B1289" s="1"/>
      <c r="C1289" s="1"/>
      <c r="I1289" s="3"/>
      <c r="J1289" s="3"/>
      <c r="K1289" s="3"/>
      <c r="L1289" s="3"/>
    </row>
    <row r="1290" spans="2:12" x14ac:dyDescent="0.3">
      <c r="B1290" s="1"/>
      <c r="C1290" s="1"/>
      <c r="I1290" s="3"/>
      <c r="J1290" s="3"/>
      <c r="K1290" s="3"/>
      <c r="L1290" s="3"/>
    </row>
    <row r="1291" spans="2:12" x14ac:dyDescent="0.3">
      <c r="B1291" s="1"/>
      <c r="C1291" s="1"/>
      <c r="I1291" s="3"/>
      <c r="J1291" s="3"/>
      <c r="K1291" s="3"/>
      <c r="L1291" s="3"/>
    </row>
    <row r="1292" spans="2:12" x14ac:dyDescent="0.3">
      <c r="B1292" s="1"/>
      <c r="C1292" s="1"/>
      <c r="I1292" s="3"/>
      <c r="J1292" s="3"/>
      <c r="K1292" s="3"/>
      <c r="L1292" s="3"/>
    </row>
    <row r="1293" spans="2:12" x14ac:dyDescent="0.3">
      <c r="B1293" s="1"/>
      <c r="C1293" s="1"/>
      <c r="I1293" s="3"/>
      <c r="J1293" s="3"/>
      <c r="K1293" s="3"/>
      <c r="L1293" s="3"/>
    </row>
    <row r="1294" spans="2:12" x14ac:dyDescent="0.3">
      <c r="B1294" s="1"/>
      <c r="C1294" s="1"/>
      <c r="I1294" s="3"/>
      <c r="J1294" s="3"/>
      <c r="K1294" s="3"/>
      <c r="L1294" s="3"/>
    </row>
    <row r="1295" spans="2:12" x14ac:dyDescent="0.3">
      <c r="B1295" s="1"/>
      <c r="C1295" s="1"/>
      <c r="I1295" s="3"/>
      <c r="J1295" s="3"/>
      <c r="K1295" s="3"/>
      <c r="L1295" s="3"/>
    </row>
    <row r="1296" spans="2:12" x14ac:dyDescent="0.3">
      <c r="B1296" s="1"/>
      <c r="C1296" s="1"/>
      <c r="I1296" s="3"/>
      <c r="J1296" s="3"/>
      <c r="K1296" s="3"/>
      <c r="L1296" s="3"/>
    </row>
    <row r="1297" spans="2:12" x14ac:dyDescent="0.3">
      <c r="B1297" s="1"/>
      <c r="C1297" s="1"/>
      <c r="I1297" s="3"/>
      <c r="J1297" s="3"/>
      <c r="K1297" s="3"/>
      <c r="L1297" s="3"/>
    </row>
    <row r="1298" spans="2:12" x14ac:dyDescent="0.3">
      <c r="B1298" s="1"/>
      <c r="C1298" s="1"/>
      <c r="I1298" s="3"/>
      <c r="J1298" s="3"/>
      <c r="K1298" s="3"/>
      <c r="L1298" s="3"/>
    </row>
    <row r="1299" spans="2:12" x14ac:dyDescent="0.3">
      <c r="B1299" s="1"/>
      <c r="C1299" s="1"/>
      <c r="I1299" s="3"/>
      <c r="J1299" s="3"/>
      <c r="K1299" s="3"/>
      <c r="L1299" s="3"/>
    </row>
    <row r="1300" spans="2:12" x14ac:dyDescent="0.3">
      <c r="B1300" s="1"/>
      <c r="C1300" s="1"/>
      <c r="I1300" s="3"/>
      <c r="J1300" s="3"/>
      <c r="K1300" s="3"/>
      <c r="L1300" s="3"/>
    </row>
    <row r="1301" spans="2:12" x14ac:dyDescent="0.3">
      <c r="B1301" s="1"/>
      <c r="C1301" s="1"/>
      <c r="I1301" s="3"/>
      <c r="J1301" s="3"/>
      <c r="K1301" s="3"/>
      <c r="L1301" s="3"/>
    </row>
    <row r="1302" spans="2:12" x14ac:dyDescent="0.3">
      <c r="B1302" s="1"/>
      <c r="C1302" s="1"/>
      <c r="I1302" s="3"/>
      <c r="J1302" s="3"/>
      <c r="K1302" s="3"/>
      <c r="L1302" s="3"/>
    </row>
    <row r="1303" spans="2:12" x14ac:dyDescent="0.3">
      <c r="B1303" s="1"/>
      <c r="C1303" s="1"/>
      <c r="I1303" s="3"/>
      <c r="J1303" s="3"/>
      <c r="K1303" s="3"/>
      <c r="L1303" s="3"/>
    </row>
    <row r="1304" spans="2:12" x14ac:dyDescent="0.3">
      <c r="B1304" s="1"/>
      <c r="C1304" s="1"/>
      <c r="I1304" s="3"/>
      <c r="J1304" s="3"/>
      <c r="K1304" s="3"/>
      <c r="L1304" s="3"/>
    </row>
    <row r="1305" spans="2:12" x14ac:dyDescent="0.3">
      <c r="B1305" s="1"/>
      <c r="C1305" s="1"/>
      <c r="I1305" s="3"/>
      <c r="J1305" s="3"/>
      <c r="K1305" s="3"/>
      <c r="L1305" s="3"/>
    </row>
    <row r="1306" spans="2:12" x14ac:dyDescent="0.3">
      <c r="B1306" s="1"/>
      <c r="C1306" s="1"/>
      <c r="I1306" s="3"/>
      <c r="J1306" s="3"/>
      <c r="K1306" s="3"/>
      <c r="L1306" s="3"/>
    </row>
    <row r="1307" spans="2:12" x14ac:dyDescent="0.3">
      <c r="B1307" s="1"/>
      <c r="C1307" s="1"/>
      <c r="I1307" s="3"/>
      <c r="J1307" s="3"/>
      <c r="K1307" s="3"/>
      <c r="L1307" s="3"/>
    </row>
    <row r="1308" spans="2:12" x14ac:dyDescent="0.3">
      <c r="B1308" s="1"/>
      <c r="C1308" s="1"/>
      <c r="I1308" s="3"/>
      <c r="J1308" s="3"/>
      <c r="K1308" s="3"/>
      <c r="L1308" s="3"/>
    </row>
    <row r="1309" spans="2:12" x14ac:dyDescent="0.3">
      <c r="B1309" s="1"/>
      <c r="C1309" s="1"/>
      <c r="I1309" s="3"/>
      <c r="J1309" s="3"/>
      <c r="K1309" s="3"/>
      <c r="L1309" s="3"/>
    </row>
    <row r="1310" spans="2:12" x14ac:dyDescent="0.3">
      <c r="B1310" s="1"/>
      <c r="C1310" s="1"/>
      <c r="I1310" s="3"/>
      <c r="J1310" s="3"/>
      <c r="K1310" s="3"/>
      <c r="L1310" s="3"/>
    </row>
    <row r="1311" spans="2:12" x14ac:dyDescent="0.3">
      <c r="B1311" s="1"/>
      <c r="C1311" s="1"/>
      <c r="I1311" s="3"/>
      <c r="J1311" s="3"/>
      <c r="K1311" s="3"/>
      <c r="L1311" s="3"/>
    </row>
    <row r="1312" spans="2:12" x14ac:dyDescent="0.3">
      <c r="B1312" s="1"/>
      <c r="C1312" s="1"/>
      <c r="I1312" s="3"/>
      <c r="J1312" s="3"/>
      <c r="K1312" s="3"/>
      <c r="L1312" s="3"/>
    </row>
    <row r="1313" spans="2:12" x14ac:dyDescent="0.3">
      <c r="B1313" s="1"/>
      <c r="C1313" s="1"/>
      <c r="I1313" s="3"/>
      <c r="J1313" s="3"/>
      <c r="K1313" s="3"/>
      <c r="L1313" s="3"/>
    </row>
    <row r="1314" spans="2:12" x14ac:dyDescent="0.3">
      <c r="B1314" s="1"/>
      <c r="C1314" s="1"/>
      <c r="I1314" s="3"/>
      <c r="J1314" s="3"/>
      <c r="K1314" s="3"/>
      <c r="L1314" s="3"/>
    </row>
    <row r="1315" spans="2:12" x14ac:dyDescent="0.3">
      <c r="B1315" s="1"/>
      <c r="C1315" s="1"/>
      <c r="I1315" s="3"/>
      <c r="J1315" s="3"/>
      <c r="K1315" s="3"/>
      <c r="L1315" s="3"/>
    </row>
    <row r="1316" spans="2:12" x14ac:dyDescent="0.3">
      <c r="B1316" s="1"/>
      <c r="C1316" s="1"/>
      <c r="I1316" s="3"/>
      <c r="J1316" s="3"/>
      <c r="K1316" s="3"/>
      <c r="L1316" s="3"/>
    </row>
    <row r="1317" spans="2:12" x14ac:dyDescent="0.3">
      <c r="B1317" s="1"/>
      <c r="C1317" s="1"/>
      <c r="I1317" s="3"/>
      <c r="J1317" s="3"/>
      <c r="K1317" s="3"/>
      <c r="L1317" s="3"/>
    </row>
    <row r="1318" spans="2:12" x14ac:dyDescent="0.3">
      <c r="B1318" s="1"/>
      <c r="C1318" s="1"/>
      <c r="I1318" s="3"/>
      <c r="J1318" s="3"/>
      <c r="K1318" s="3"/>
      <c r="L1318" s="3"/>
    </row>
    <row r="1319" spans="2:12" x14ac:dyDescent="0.3">
      <c r="B1319" s="1"/>
      <c r="C1319" s="1"/>
      <c r="I1319" s="3"/>
      <c r="J1319" s="3"/>
      <c r="K1319" s="3"/>
      <c r="L1319" s="3"/>
    </row>
    <row r="1320" spans="2:12" x14ac:dyDescent="0.3">
      <c r="B1320" s="1"/>
      <c r="C1320" s="1"/>
      <c r="I1320" s="3"/>
      <c r="J1320" s="3"/>
      <c r="K1320" s="3"/>
      <c r="L1320" s="3"/>
    </row>
    <row r="1321" spans="2:12" x14ac:dyDescent="0.3">
      <c r="B1321" s="1"/>
      <c r="C1321" s="1"/>
      <c r="I1321" s="3"/>
      <c r="J1321" s="3"/>
      <c r="K1321" s="3"/>
      <c r="L1321" s="3"/>
    </row>
    <row r="1322" spans="2:12" x14ac:dyDescent="0.3">
      <c r="B1322" s="1"/>
      <c r="C1322" s="1"/>
      <c r="I1322" s="3"/>
      <c r="J1322" s="3"/>
      <c r="K1322" s="3"/>
      <c r="L1322" s="3"/>
    </row>
    <row r="1323" spans="2:12" x14ac:dyDescent="0.3">
      <c r="B1323" s="1"/>
      <c r="C1323" s="1"/>
      <c r="I1323" s="3"/>
      <c r="J1323" s="3"/>
      <c r="K1323" s="3"/>
      <c r="L1323" s="3"/>
    </row>
    <row r="1324" spans="2:12" x14ac:dyDescent="0.3">
      <c r="B1324" s="1"/>
      <c r="C1324" s="1"/>
      <c r="I1324" s="3"/>
      <c r="J1324" s="3"/>
      <c r="K1324" s="3"/>
      <c r="L1324" s="3"/>
    </row>
    <row r="1325" spans="2:12" x14ac:dyDescent="0.3">
      <c r="B1325" s="1"/>
      <c r="C1325" s="1"/>
      <c r="I1325" s="3"/>
      <c r="J1325" s="3"/>
      <c r="K1325" s="3"/>
      <c r="L1325" s="3"/>
    </row>
    <row r="1326" spans="2:12" x14ac:dyDescent="0.3">
      <c r="B1326" s="1"/>
      <c r="C1326" s="1"/>
      <c r="I1326" s="3"/>
      <c r="J1326" s="3"/>
      <c r="K1326" s="3"/>
      <c r="L1326" s="3"/>
    </row>
    <row r="1327" spans="2:12" x14ac:dyDescent="0.3">
      <c r="B1327" s="1"/>
      <c r="C1327" s="1"/>
      <c r="I1327" s="3"/>
      <c r="J1327" s="3"/>
      <c r="K1327" s="3"/>
      <c r="L1327" s="3"/>
    </row>
    <row r="1328" spans="2:12" x14ac:dyDescent="0.3">
      <c r="B1328" s="1"/>
      <c r="C1328" s="1"/>
      <c r="I1328" s="3"/>
      <c r="J1328" s="3"/>
      <c r="K1328" s="3"/>
      <c r="L1328" s="3"/>
    </row>
    <row r="1329" spans="2:12" x14ac:dyDescent="0.3">
      <c r="B1329" s="1"/>
      <c r="C1329" s="1"/>
      <c r="I1329" s="3"/>
      <c r="J1329" s="3"/>
      <c r="K1329" s="3"/>
      <c r="L1329" s="3"/>
    </row>
    <row r="1330" spans="2:12" x14ac:dyDescent="0.3">
      <c r="B1330" s="1"/>
      <c r="C1330" s="1"/>
      <c r="I1330" s="3"/>
      <c r="J1330" s="3"/>
      <c r="K1330" s="3"/>
      <c r="L1330" s="3"/>
    </row>
    <row r="1331" spans="2:12" x14ac:dyDescent="0.3">
      <c r="B1331" s="1"/>
      <c r="C1331" s="1"/>
      <c r="I1331" s="3"/>
      <c r="J1331" s="3"/>
      <c r="K1331" s="3"/>
      <c r="L1331" s="3"/>
    </row>
    <row r="1332" spans="2:12" x14ac:dyDescent="0.3">
      <c r="B1332" s="1"/>
      <c r="C1332" s="1"/>
      <c r="I1332" s="3"/>
      <c r="J1332" s="3"/>
      <c r="K1332" s="3"/>
      <c r="L1332" s="3"/>
    </row>
    <row r="1333" spans="2:12" x14ac:dyDescent="0.3">
      <c r="B1333" s="1"/>
      <c r="C1333" s="1"/>
      <c r="I1333" s="3"/>
      <c r="J1333" s="3"/>
      <c r="K1333" s="3"/>
      <c r="L1333" s="3"/>
    </row>
    <row r="1334" spans="2:12" x14ac:dyDescent="0.3">
      <c r="B1334" s="1"/>
      <c r="C1334" s="1"/>
      <c r="I1334" s="3"/>
      <c r="J1334" s="3"/>
      <c r="K1334" s="3"/>
      <c r="L1334" s="3"/>
    </row>
    <row r="1335" spans="2:12" x14ac:dyDescent="0.3">
      <c r="B1335" s="1"/>
      <c r="C1335" s="1"/>
      <c r="I1335" s="3"/>
      <c r="J1335" s="3"/>
      <c r="K1335" s="3"/>
      <c r="L1335" s="3"/>
    </row>
    <row r="1336" spans="2:12" x14ac:dyDescent="0.3">
      <c r="B1336" s="1"/>
      <c r="C1336" s="1"/>
      <c r="I1336" s="3"/>
      <c r="J1336" s="3"/>
      <c r="K1336" s="3"/>
      <c r="L1336" s="3"/>
    </row>
    <row r="1337" spans="2:12" x14ac:dyDescent="0.3">
      <c r="B1337" s="1"/>
      <c r="C1337" s="1"/>
      <c r="I1337" s="3"/>
      <c r="J1337" s="3"/>
      <c r="K1337" s="3"/>
      <c r="L1337" s="3"/>
    </row>
    <row r="1338" spans="2:12" x14ac:dyDescent="0.3">
      <c r="B1338" s="1"/>
      <c r="C1338" s="1"/>
      <c r="I1338" s="3"/>
      <c r="J1338" s="3"/>
      <c r="K1338" s="3"/>
      <c r="L1338" s="3"/>
    </row>
    <row r="1339" spans="2:12" x14ac:dyDescent="0.3">
      <c r="B1339" s="1"/>
      <c r="C1339" s="1"/>
      <c r="I1339" s="3"/>
      <c r="J1339" s="3"/>
      <c r="K1339" s="3"/>
      <c r="L1339" s="3"/>
    </row>
    <row r="1340" spans="2:12" x14ac:dyDescent="0.3">
      <c r="B1340" s="1"/>
      <c r="C1340" s="1"/>
      <c r="I1340" s="3"/>
      <c r="J1340" s="3"/>
      <c r="K1340" s="3"/>
      <c r="L1340" s="3"/>
    </row>
    <row r="1341" spans="2:12" x14ac:dyDescent="0.3">
      <c r="B1341" s="1"/>
      <c r="C1341" s="1"/>
      <c r="I1341" s="3"/>
      <c r="J1341" s="3"/>
      <c r="K1341" s="3"/>
      <c r="L1341" s="3"/>
    </row>
    <row r="1342" spans="2:12" x14ac:dyDescent="0.3">
      <c r="B1342" s="1"/>
      <c r="C1342" s="1"/>
      <c r="I1342" s="3"/>
      <c r="J1342" s="3"/>
      <c r="K1342" s="3"/>
      <c r="L1342" s="3"/>
    </row>
    <row r="1343" spans="2:12" x14ac:dyDescent="0.3">
      <c r="B1343" s="1"/>
      <c r="C1343" s="1"/>
      <c r="I1343" s="3"/>
      <c r="J1343" s="3"/>
      <c r="K1343" s="3"/>
      <c r="L1343" s="3"/>
    </row>
    <row r="1344" spans="2:12" x14ac:dyDescent="0.3">
      <c r="B1344" s="1"/>
      <c r="C1344" s="1"/>
      <c r="I1344" s="3"/>
      <c r="J1344" s="3"/>
      <c r="K1344" s="3"/>
      <c r="L1344" s="3"/>
    </row>
    <row r="1345" spans="2:12" x14ac:dyDescent="0.3">
      <c r="B1345" s="1"/>
      <c r="C1345" s="1"/>
      <c r="I1345" s="3"/>
      <c r="J1345" s="3"/>
      <c r="K1345" s="3"/>
      <c r="L1345" s="3"/>
    </row>
    <row r="1346" spans="2:12" x14ac:dyDescent="0.3">
      <c r="B1346" s="1"/>
      <c r="C1346" s="1"/>
      <c r="I1346" s="3"/>
      <c r="J1346" s="3"/>
      <c r="K1346" s="3"/>
      <c r="L1346" s="3"/>
    </row>
    <row r="1347" spans="2:12" x14ac:dyDescent="0.3">
      <c r="B1347" s="1"/>
      <c r="C1347" s="1"/>
      <c r="I1347" s="3"/>
      <c r="J1347" s="3"/>
      <c r="K1347" s="3"/>
      <c r="L1347" s="3"/>
    </row>
    <row r="1348" spans="2:12" x14ac:dyDescent="0.3">
      <c r="B1348" s="1"/>
      <c r="C1348" s="1"/>
      <c r="I1348" s="3"/>
      <c r="J1348" s="3"/>
      <c r="K1348" s="3"/>
      <c r="L1348" s="3"/>
    </row>
    <row r="1349" spans="2:12" x14ac:dyDescent="0.3">
      <c r="B1349" s="1"/>
      <c r="C1349" s="1"/>
      <c r="I1349" s="3"/>
      <c r="J1349" s="3"/>
      <c r="K1349" s="3"/>
      <c r="L1349" s="3"/>
    </row>
    <row r="1350" spans="2:12" x14ac:dyDescent="0.3">
      <c r="B1350" s="1"/>
      <c r="C1350" s="1"/>
      <c r="I1350" s="3"/>
      <c r="J1350" s="3"/>
      <c r="K1350" s="3"/>
      <c r="L1350" s="3"/>
    </row>
    <row r="1351" spans="2:12" x14ac:dyDescent="0.3">
      <c r="B1351" s="1"/>
      <c r="C1351" s="1"/>
      <c r="I1351" s="3"/>
      <c r="J1351" s="3"/>
      <c r="K1351" s="3"/>
      <c r="L1351" s="3"/>
    </row>
    <row r="1352" spans="2:12" x14ac:dyDescent="0.3">
      <c r="B1352" s="1"/>
      <c r="C1352" s="1"/>
      <c r="I1352" s="3"/>
      <c r="J1352" s="3"/>
      <c r="K1352" s="3"/>
      <c r="L1352" s="3"/>
    </row>
    <row r="1353" spans="2:12" x14ac:dyDescent="0.3">
      <c r="B1353" s="1"/>
      <c r="C1353" s="1"/>
      <c r="I1353" s="3"/>
      <c r="J1353" s="3"/>
      <c r="K1353" s="3"/>
      <c r="L1353" s="3"/>
    </row>
    <row r="1354" spans="2:12" x14ac:dyDescent="0.3">
      <c r="B1354" s="1"/>
      <c r="C1354" s="1"/>
      <c r="I1354" s="3"/>
      <c r="J1354" s="3"/>
      <c r="K1354" s="3"/>
      <c r="L1354" s="3"/>
    </row>
    <row r="1355" spans="2:12" x14ac:dyDescent="0.3">
      <c r="B1355" s="1"/>
      <c r="C1355" s="1"/>
      <c r="I1355" s="3"/>
      <c r="J1355" s="3"/>
      <c r="K1355" s="3"/>
      <c r="L1355" s="3"/>
    </row>
    <row r="1356" spans="2:12" x14ac:dyDescent="0.3">
      <c r="B1356" s="1"/>
      <c r="C1356" s="1"/>
      <c r="I1356" s="3"/>
      <c r="J1356" s="3"/>
      <c r="K1356" s="3"/>
      <c r="L1356" s="3"/>
    </row>
    <row r="1357" spans="2:12" x14ac:dyDescent="0.3">
      <c r="B1357" s="1"/>
      <c r="C1357" s="1"/>
      <c r="I1357" s="3"/>
      <c r="J1357" s="3"/>
      <c r="K1357" s="3"/>
      <c r="L1357" s="3"/>
    </row>
    <row r="1358" spans="2:12" x14ac:dyDescent="0.3">
      <c r="B1358" s="1"/>
      <c r="C1358" s="1"/>
      <c r="I1358" s="3"/>
      <c r="J1358" s="3"/>
      <c r="K1358" s="3"/>
      <c r="L1358" s="3"/>
    </row>
    <row r="1359" spans="2:12" x14ac:dyDescent="0.3">
      <c r="B1359" s="1"/>
      <c r="C1359" s="1"/>
      <c r="I1359" s="3"/>
      <c r="J1359" s="3"/>
      <c r="K1359" s="3"/>
      <c r="L1359" s="3"/>
    </row>
    <row r="1360" spans="2:12" x14ac:dyDescent="0.3">
      <c r="B1360" s="1"/>
      <c r="C1360" s="1"/>
      <c r="I1360" s="3"/>
      <c r="J1360" s="3"/>
      <c r="K1360" s="3"/>
      <c r="L1360" s="3"/>
    </row>
    <row r="1361" spans="2:12" x14ac:dyDescent="0.3">
      <c r="B1361" s="1"/>
      <c r="C1361" s="1"/>
      <c r="I1361" s="3"/>
      <c r="J1361" s="3"/>
      <c r="K1361" s="3"/>
      <c r="L1361" s="3"/>
    </row>
    <row r="1362" spans="2:12" x14ac:dyDescent="0.3">
      <c r="B1362" s="1"/>
      <c r="C1362" s="1"/>
      <c r="I1362" s="3"/>
      <c r="J1362" s="3"/>
      <c r="K1362" s="3"/>
      <c r="L1362" s="3"/>
    </row>
    <row r="1363" spans="2:12" x14ac:dyDescent="0.3">
      <c r="B1363" s="1"/>
      <c r="C1363" s="1"/>
      <c r="I1363" s="3"/>
      <c r="J1363" s="3"/>
      <c r="K1363" s="3"/>
      <c r="L1363" s="3"/>
    </row>
    <row r="1364" spans="2:12" x14ac:dyDescent="0.3">
      <c r="B1364" s="1"/>
      <c r="C1364" s="1"/>
      <c r="I1364" s="3"/>
      <c r="J1364" s="3"/>
      <c r="K1364" s="3"/>
      <c r="L1364" s="3"/>
    </row>
    <row r="1365" spans="2:12" x14ac:dyDescent="0.3">
      <c r="B1365" s="1"/>
      <c r="C1365" s="1"/>
      <c r="I1365" s="3"/>
      <c r="J1365" s="3"/>
      <c r="K1365" s="3"/>
      <c r="L1365" s="3"/>
    </row>
    <row r="1366" spans="2:12" x14ac:dyDescent="0.3">
      <c r="B1366" s="1"/>
      <c r="C1366" s="1"/>
      <c r="I1366" s="3"/>
      <c r="J1366" s="3"/>
      <c r="K1366" s="3"/>
      <c r="L1366" s="3"/>
    </row>
    <row r="1367" spans="2:12" x14ac:dyDescent="0.3">
      <c r="B1367" s="1"/>
      <c r="C1367" s="1"/>
      <c r="I1367" s="3"/>
      <c r="J1367" s="3"/>
      <c r="K1367" s="3"/>
      <c r="L1367" s="3"/>
    </row>
    <row r="1368" spans="2:12" x14ac:dyDescent="0.3">
      <c r="B1368" s="1"/>
      <c r="C1368" s="1"/>
      <c r="I1368" s="3"/>
      <c r="J1368" s="3"/>
      <c r="K1368" s="3"/>
      <c r="L1368" s="3"/>
    </row>
    <row r="1369" spans="2:12" x14ac:dyDescent="0.3">
      <c r="B1369" s="1"/>
      <c r="C1369" s="1"/>
      <c r="I1369" s="3"/>
      <c r="J1369" s="3"/>
      <c r="K1369" s="3"/>
      <c r="L1369" s="3"/>
    </row>
    <row r="1370" spans="2:12" x14ac:dyDescent="0.3">
      <c r="B1370" s="1"/>
      <c r="C1370" s="1"/>
      <c r="I1370" s="3"/>
      <c r="J1370" s="3"/>
      <c r="K1370" s="3"/>
      <c r="L1370" s="3"/>
    </row>
    <row r="1371" spans="2:12" x14ac:dyDescent="0.3">
      <c r="B1371" s="1"/>
      <c r="C1371" s="1"/>
      <c r="I1371" s="3"/>
      <c r="J1371" s="3"/>
      <c r="K1371" s="3"/>
      <c r="L1371" s="3"/>
    </row>
    <row r="1372" spans="2:12" x14ac:dyDescent="0.3">
      <c r="B1372" s="1"/>
      <c r="C1372" s="1"/>
      <c r="I1372" s="3"/>
      <c r="J1372" s="3"/>
      <c r="K1372" s="3"/>
      <c r="L1372" s="3"/>
    </row>
    <row r="1373" spans="2:12" x14ac:dyDescent="0.3">
      <c r="B1373" s="1"/>
      <c r="C1373" s="1"/>
      <c r="I1373" s="3"/>
      <c r="J1373" s="3"/>
      <c r="K1373" s="3"/>
      <c r="L1373" s="3"/>
    </row>
    <row r="1374" spans="2:12" x14ac:dyDescent="0.3">
      <c r="B1374" s="1"/>
      <c r="C1374" s="1"/>
      <c r="I1374" s="3"/>
      <c r="J1374" s="3"/>
      <c r="K1374" s="3"/>
      <c r="L1374" s="3"/>
    </row>
    <row r="1375" spans="2:12" x14ac:dyDescent="0.3">
      <c r="B1375" s="1"/>
      <c r="C1375" s="1"/>
      <c r="I1375" s="3"/>
      <c r="J1375" s="3"/>
      <c r="K1375" s="3"/>
      <c r="L1375" s="3"/>
    </row>
    <row r="1376" spans="2:12" x14ac:dyDescent="0.3">
      <c r="B1376" s="1"/>
      <c r="C1376" s="1"/>
      <c r="I1376" s="3"/>
      <c r="J1376" s="3"/>
      <c r="K1376" s="3"/>
      <c r="L1376" s="3"/>
    </row>
    <row r="1377" spans="2:12" x14ac:dyDescent="0.3">
      <c r="B1377" s="1"/>
      <c r="C1377" s="1"/>
      <c r="I1377" s="3"/>
      <c r="J1377" s="3"/>
      <c r="K1377" s="3"/>
      <c r="L1377" s="3"/>
    </row>
    <row r="1378" spans="2:12" x14ac:dyDescent="0.3">
      <c r="B1378" s="1"/>
      <c r="C1378" s="1"/>
      <c r="I1378" s="3"/>
      <c r="J1378" s="3"/>
      <c r="K1378" s="3"/>
      <c r="L1378" s="3"/>
    </row>
    <row r="1379" spans="2:12" x14ac:dyDescent="0.3">
      <c r="B1379" s="1"/>
      <c r="C1379" s="1"/>
      <c r="I1379" s="3"/>
      <c r="J1379" s="3"/>
      <c r="K1379" s="3"/>
      <c r="L1379" s="3"/>
    </row>
    <row r="1380" spans="2:12" x14ac:dyDescent="0.3">
      <c r="B1380" s="1"/>
      <c r="C1380" s="1"/>
      <c r="I1380" s="3"/>
      <c r="J1380" s="3"/>
      <c r="K1380" s="3"/>
      <c r="L1380" s="3"/>
    </row>
    <row r="1381" spans="2:12" x14ac:dyDescent="0.3">
      <c r="B1381" s="1"/>
      <c r="C1381" s="1"/>
      <c r="I1381" s="3"/>
      <c r="J1381" s="3"/>
      <c r="K1381" s="3"/>
      <c r="L1381" s="3"/>
    </row>
    <row r="1382" spans="2:12" x14ac:dyDescent="0.3">
      <c r="B1382" s="1"/>
      <c r="C1382" s="1"/>
      <c r="I1382" s="3"/>
      <c r="J1382" s="3"/>
      <c r="K1382" s="3"/>
      <c r="L1382" s="3"/>
    </row>
    <row r="1383" spans="2:12" x14ac:dyDescent="0.3">
      <c r="B1383" s="1"/>
      <c r="C1383" s="1"/>
      <c r="I1383" s="3"/>
      <c r="J1383" s="3"/>
      <c r="K1383" s="3"/>
      <c r="L1383" s="3"/>
    </row>
    <row r="1384" spans="2:12" x14ac:dyDescent="0.3">
      <c r="B1384" s="1"/>
      <c r="C1384" s="1"/>
      <c r="I1384" s="3"/>
      <c r="J1384" s="3"/>
      <c r="K1384" s="3"/>
      <c r="L1384" s="3"/>
    </row>
    <row r="1385" spans="2:12" x14ac:dyDescent="0.3">
      <c r="B1385" s="1"/>
      <c r="C1385" s="1"/>
      <c r="I1385" s="3"/>
      <c r="J1385" s="3"/>
      <c r="K1385" s="3"/>
      <c r="L1385" s="3"/>
    </row>
    <row r="1386" spans="2:12" x14ac:dyDescent="0.3">
      <c r="B1386" s="1"/>
      <c r="C1386" s="1"/>
      <c r="I1386" s="3"/>
      <c r="J1386" s="3"/>
      <c r="K1386" s="3"/>
      <c r="L1386" s="3"/>
    </row>
    <row r="1387" spans="2:12" x14ac:dyDescent="0.3">
      <c r="B1387" s="1"/>
      <c r="C1387" s="1"/>
      <c r="I1387" s="3"/>
      <c r="J1387" s="3"/>
      <c r="K1387" s="3"/>
      <c r="L1387" s="3"/>
    </row>
    <row r="1388" spans="2:12" x14ac:dyDescent="0.3">
      <c r="B1388" s="1"/>
      <c r="C1388" s="1"/>
      <c r="I1388" s="3"/>
      <c r="J1388" s="3"/>
      <c r="K1388" s="3"/>
      <c r="L1388" s="3"/>
    </row>
    <row r="1389" spans="2:12" x14ac:dyDescent="0.3">
      <c r="B1389" s="1"/>
      <c r="C1389" s="1"/>
      <c r="I1389" s="3"/>
      <c r="J1389" s="3"/>
      <c r="K1389" s="3"/>
      <c r="L1389" s="3"/>
    </row>
    <row r="1390" spans="2:12" x14ac:dyDescent="0.3">
      <c r="B1390" s="1"/>
      <c r="C1390" s="1"/>
      <c r="I1390" s="3"/>
      <c r="J1390" s="3"/>
      <c r="K1390" s="3"/>
      <c r="L1390" s="3"/>
    </row>
    <row r="1391" spans="2:12" x14ac:dyDescent="0.3">
      <c r="B1391" s="1"/>
      <c r="C1391" s="1"/>
      <c r="I1391" s="3"/>
      <c r="J1391" s="3"/>
      <c r="K1391" s="3"/>
      <c r="L1391" s="3"/>
    </row>
    <row r="1392" spans="2:12" x14ac:dyDescent="0.3">
      <c r="B1392" s="1"/>
      <c r="C1392" s="1"/>
      <c r="I1392" s="3"/>
      <c r="J1392" s="3"/>
      <c r="K1392" s="3"/>
      <c r="L1392" s="3"/>
    </row>
    <row r="1393" spans="2:12" x14ac:dyDescent="0.3">
      <c r="B1393" s="1"/>
      <c r="C1393" s="1"/>
      <c r="I1393" s="3"/>
      <c r="J1393" s="3"/>
      <c r="K1393" s="3"/>
      <c r="L1393" s="3"/>
    </row>
    <row r="1394" spans="2:12" x14ac:dyDescent="0.3">
      <c r="B1394" s="1"/>
      <c r="C1394" s="1"/>
      <c r="I1394" s="3"/>
      <c r="J1394" s="3"/>
      <c r="K1394" s="3"/>
      <c r="L1394" s="3"/>
    </row>
    <row r="1395" spans="2:12" x14ac:dyDescent="0.3">
      <c r="B1395" s="1"/>
      <c r="C1395" s="1"/>
      <c r="I1395" s="3"/>
      <c r="J1395" s="3"/>
      <c r="K1395" s="3"/>
      <c r="L1395" s="3"/>
    </row>
    <row r="1396" spans="2:12" x14ac:dyDescent="0.3">
      <c r="B1396" s="1"/>
      <c r="C1396" s="1"/>
      <c r="I1396" s="3"/>
      <c r="J1396" s="3"/>
      <c r="K1396" s="3"/>
      <c r="L1396" s="3"/>
    </row>
    <row r="1397" spans="2:12" x14ac:dyDescent="0.3">
      <c r="B1397" s="1"/>
      <c r="C1397" s="1"/>
      <c r="I1397" s="3"/>
      <c r="J1397" s="3"/>
      <c r="K1397" s="3"/>
      <c r="L1397" s="3"/>
    </row>
    <row r="1398" spans="2:12" x14ac:dyDescent="0.3">
      <c r="B1398" s="1"/>
      <c r="C1398" s="1"/>
      <c r="I1398" s="3"/>
      <c r="J1398" s="3"/>
      <c r="K1398" s="3"/>
      <c r="L1398" s="3"/>
    </row>
    <row r="1399" spans="2:12" x14ac:dyDescent="0.3">
      <c r="B1399" s="1"/>
      <c r="C1399" s="1"/>
      <c r="I1399" s="3"/>
      <c r="J1399" s="3"/>
      <c r="K1399" s="3"/>
      <c r="L1399" s="3"/>
    </row>
    <row r="1400" spans="2:12" x14ac:dyDescent="0.3">
      <c r="B1400" s="1"/>
      <c r="C1400" s="1"/>
      <c r="I1400" s="3"/>
      <c r="J1400" s="3"/>
      <c r="K1400" s="3"/>
      <c r="L1400" s="3"/>
    </row>
    <row r="1401" spans="2:12" x14ac:dyDescent="0.3">
      <c r="B1401" s="1"/>
      <c r="C1401" s="1"/>
      <c r="I1401" s="3"/>
      <c r="J1401" s="3"/>
      <c r="K1401" s="3"/>
      <c r="L1401" s="3"/>
    </row>
    <row r="1402" spans="2:12" x14ac:dyDescent="0.3">
      <c r="B1402" s="1"/>
      <c r="C1402" s="1"/>
      <c r="I1402" s="3"/>
      <c r="J1402" s="3"/>
      <c r="K1402" s="3"/>
      <c r="L1402" s="3"/>
    </row>
    <row r="1403" spans="2:12" x14ac:dyDescent="0.3">
      <c r="B1403" s="1"/>
      <c r="C1403" s="1"/>
      <c r="I1403" s="3"/>
      <c r="J1403" s="3"/>
      <c r="K1403" s="3"/>
      <c r="L1403" s="3"/>
    </row>
    <row r="1404" spans="2:12" x14ac:dyDescent="0.3">
      <c r="B1404" s="1"/>
      <c r="C1404" s="1"/>
      <c r="I1404" s="3"/>
      <c r="J1404" s="3"/>
      <c r="K1404" s="3"/>
      <c r="L1404" s="3"/>
    </row>
    <row r="1405" spans="2:12" x14ac:dyDescent="0.3">
      <c r="B1405" s="1"/>
      <c r="C1405" s="1"/>
      <c r="I1405" s="3"/>
      <c r="J1405" s="3"/>
      <c r="K1405" s="3"/>
      <c r="L1405" s="3"/>
    </row>
    <row r="1406" spans="2:12" x14ac:dyDescent="0.3">
      <c r="B1406" s="1"/>
      <c r="C1406" s="1"/>
      <c r="I1406" s="3"/>
      <c r="J1406" s="3"/>
      <c r="K1406" s="3"/>
      <c r="L1406" s="3"/>
    </row>
    <row r="1407" spans="2:12" x14ac:dyDescent="0.3">
      <c r="B1407" s="1"/>
      <c r="C1407" s="1"/>
      <c r="I1407" s="3"/>
      <c r="J1407" s="3"/>
      <c r="K1407" s="3"/>
      <c r="L1407" s="3"/>
    </row>
    <row r="1408" spans="2:12" x14ac:dyDescent="0.3">
      <c r="B1408" s="1"/>
      <c r="C1408" s="1"/>
      <c r="I1408" s="3"/>
      <c r="J1408" s="3"/>
      <c r="K1408" s="3"/>
      <c r="L1408" s="3"/>
    </row>
    <row r="1409" spans="2:12" x14ac:dyDescent="0.3">
      <c r="B1409" s="1"/>
      <c r="C1409" s="1"/>
      <c r="I1409" s="3"/>
      <c r="J1409" s="3"/>
      <c r="K1409" s="3"/>
      <c r="L1409" s="3"/>
    </row>
    <row r="1410" spans="2:12" x14ac:dyDescent="0.3">
      <c r="B1410" s="1"/>
      <c r="C1410" s="1"/>
      <c r="I1410" s="3"/>
      <c r="J1410" s="3"/>
      <c r="K1410" s="3"/>
      <c r="L1410" s="3"/>
    </row>
    <row r="1411" spans="2:12" x14ac:dyDescent="0.3">
      <c r="B1411" s="1"/>
      <c r="C1411" s="1"/>
      <c r="I1411" s="3"/>
      <c r="J1411" s="3"/>
      <c r="K1411" s="3"/>
      <c r="L1411" s="3"/>
    </row>
    <row r="1412" spans="2:12" x14ac:dyDescent="0.3">
      <c r="B1412" s="1"/>
      <c r="C1412" s="1"/>
      <c r="I1412" s="3"/>
      <c r="J1412" s="3"/>
      <c r="K1412" s="3"/>
      <c r="L1412" s="3"/>
    </row>
    <row r="1413" spans="2:12" x14ac:dyDescent="0.3">
      <c r="B1413" s="1"/>
      <c r="C1413" s="1"/>
      <c r="I1413" s="3"/>
      <c r="J1413" s="3"/>
      <c r="K1413" s="3"/>
      <c r="L1413" s="3"/>
    </row>
    <row r="1414" spans="2:12" x14ac:dyDescent="0.3">
      <c r="B1414" s="1"/>
      <c r="C1414" s="1"/>
      <c r="I1414" s="3"/>
      <c r="J1414" s="3"/>
      <c r="K1414" s="3"/>
      <c r="L1414" s="3"/>
    </row>
    <row r="1415" spans="2:12" x14ac:dyDescent="0.3">
      <c r="B1415" s="1"/>
      <c r="C1415" s="1"/>
      <c r="I1415" s="3"/>
      <c r="J1415" s="3"/>
      <c r="K1415" s="3"/>
      <c r="L1415" s="3"/>
    </row>
    <row r="1416" spans="2:12" x14ac:dyDescent="0.3">
      <c r="B1416" s="1"/>
      <c r="C1416" s="1"/>
      <c r="I1416" s="3"/>
      <c r="J1416" s="3"/>
      <c r="K1416" s="3"/>
      <c r="L1416" s="3"/>
    </row>
    <row r="1417" spans="2:12" x14ac:dyDescent="0.3">
      <c r="B1417" s="1"/>
      <c r="C1417" s="1"/>
      <c r="I1417" s="3"/>
      <c r="J1417" s="3"/>
      <c r="K1417" s="3"/>
      <c r="L1417" s="3"/>
    </row>
    <row r="1418" spans="2:12" x14ac:dyDescent="0.3">
      <c r="B1418" s="1"/>
      <c r="C1418" s="1"/>
      <c r="I1418" s="3"/>
      <c r="J1418" s="3"/>
      <c r="K1418" s="3"/>
      <c r="L1418" s="3"/>
    </row>
    <row r="1419" spans="2:12" x14ac:dyDescent="0.3">
      <c r="B1419" s="1"/>
      <c r="C1419" s="1"/>
      <c r="I1419" s="3"/>
      <c r="J1419" s="3"/>
      <c r="K1419" s="3"/>
      <c r="L1419" s="3"/>
    </row>
    <row r="1420" spans="2:12" x14ac:dyDescent="0.3">
      <c r="B1420" s="1"/>
      <c r="C1420" s="1"/>
      <c r="I1420" s="3"/>
      <c r="J1420" s="3"/>
      <c r="K1420" s="3"/>
      <c r="L1420" s="3"/>
    </row>
    <row r="1421" spans="2:12" x14ac:dyDescent="0.3">
      <c r="B1421" s="1"/>
      <c r="C1421" s="1"/>
      <c r="I1421" s="3"/>
      <c r="J1421" s="3"/>
      <c r="K1421" s="3"/>
      <c r="L1421" s="3"/>
    </row>
    <row r="1422" spans="2:12" x14ac:dyDescent="0.3">
      <c r="B1422" s="1"/>
      <c r="C1422" s="1"/>
      <c r="I1422" s="3"/>
      <c r="J1422" s="3"/>
      <c r="K1422" s="3"/>
      <c r="L1422" s="3"/>
    </row>
    <row r="1423" spans="2:12" x14ac:dyDescent="0.3">
      <c r="B1423" s="1"/>
      <c r="C1423" s="1"/>
      <c r="I1423" s="3"/>
      <c r="J1423" s="3"/>
      <c r="K1423" s="3"/>
      <c r="L1423" s="3"/>
    </row>
    <row r="1424" spans="2:12" x14ac:dyDescent="0.3">
      <c r="B1424" s="1"/>
      <c r="C1424" s="1"/>
      <c r="I1424" s="3"/>
      <c r="J1424" s="3"/>
      <c r="K1424" s="3"/>
      <c r="L1424" s="3"/>
    </row>
    <row r="1425" spans="2:12" x14ac:dyDescent="0.3">
      <c r="B1425" s="1"/>
      <c r="C1425" s="1"/>
      <c r="I1425" s="3"/>
      <c r="J1425" s="3"/>
      <c r="K1425" s="3"/>
      <c r="L1425" s="3"/>
    </row>
    <row r="1426" spans="2:12" x14ac:dyDescent="0.3">
      <c r="B1426" s="1"/>
      <c r="C1426" s="1"/>
      <c r="I1426" s="3"/>
      <c r="J1426" s="3"/>
      <c r="K1426" s="3"/>
      <c r="L1426" s="3"/>
    </row>
    <row r="1427" spans="2:12" x14ac:dyDescent="0.3">
      <c r="B1427" s="1"/>
      <c r="C1427" s="1"/>
      <c r="I1427" s="3"/>
      <c r="J1427" s="3"/>
      <c r="K1427" s="3"/>
      <c r="L1427" s="3"/>
    </row>
    <row r="1428" spans="2:12" x14ac:dyDescent="0.3">
      <c r="B1428" s="1"/>
      <c r="C1428" s="1"/>
      <c r="I1428" s="3"/>
      <c r="J1428" s="3"/>
      <c r="K1428" s="3"/>
      <c r="L1428" s="3"/>
    </row>
    <row r="1429" spans="2:12" x14ac:dyDescent="0.3">
      <c r="B1429" s="1"/>
      <c r="C1429" s="1"/>
      <c r="I1429" s="3"/>
      <c r="J1429" s="3"/>
      <c r="K1429" s="3"/>
      <c r="L1429" s="3"/>
    </row>
    <row r="1430" spans="2:12" x14ac:dyDescent="0.3">
      <c r="B1430" s="1"/>
      <c r="C1430" s="1"/>
      <c r="I1430" s="3"/>
      <c r="J1430" s="3"/>
      <c r="K1430" s="3"/>
      <c r="L1430" s="3"/>
    </row>
    <row r="1431" spans="2:12" x14ac:dyDescent="0.3">
      <c r="B1431" s="1"/>
      <c r="C1431" s="1"/>
      <c r="I1431" s="3"/>
      <c r="J1431" s="3"/>
      <c r="K1431" s="3"/>
      <c r="L1431" s="3"/>
    </row>
    <row r="1432" spans="2:12" x14ac:dyDescent="0.3">
      <c r="B1432" s="1"/>
      <c r="C1432" s="1"/>
      <c r="I1432" s="3"/>
      <c r="J1432" s="3"/>
      <c r="K1432" s="3"/>
      <c r="L1432" s="3"/>
    </row>
    <row r="1433" spans="2:12" x14ac:dyDescent="0.3">
      <c r="B1433" s="1"/>
      <c r="C1433" s="1"/>
      <c r="I1433" s="3"/>
      <c r="J1433" s="3"/>
      <c r="K1433" s="3"/>
      <c r="L1433" s="3"/>
    </row>
    <row r="1434" spans="2:12" x14ac:dyDescent="0.3">
      <c r="B1434" s="1"/>
      <c r="C1434" s="1"/>
      <c r="I1434" s="3"/>
      <c r="J1434" s="3"/>
      <c r="K1434" s="3"/>
      <c r="L1434" s="3"/>
    </row>
    <row r="1435" spans="2:12" x14ac:dyDescent="0.3">
      <c r="B1435" s="1"/>
      <c r="C1435" s="1"/>
      <c r="I1435" s="3"/>
      <c r="J1435" s="3"/>
      <c r="K1435" s="3"/>
      <c r="L1435" s="3"/>
    </row>
    <row r="1436" spans="2:12" x14ac:dyDescent="0.3">
      <c r="B1436" s="1"/>
      <c r="C1436" s="1"/>
      <c r="I1436" s="3"/>
      <c r="J1436" s="3"/>
      <c r="K1436" s="3"/>
      <c r="L1436" s="3"/>
    </row>
    <row r="1437" spans="2:12" x14ac:dyDescent="0.3">
      <c r="B1437" s="1"/>
      <c r="C1437" s="1"/>
      <c r="I1437" s="3"/>
      <c r="J1437" s="3"/>
      <c r="K1437" s="3"/>
      <c r="L1437" s="3"/>
    </row>
    <row r="1438" spans="2:12" x14ac:dyDescent="0.3">
      <c r="B1438" s="1"/>
      <c r="C1438" s="1"/>
      <c r="I1438" s="3"/>
      <c r="J1438" s="3"/>
      <c r="K1438" s="3"/>
      <c r="L1438" s="3"/>
    </row>
    <row r="1439" spans="2:12" x14ac:dyDescent="0.3">
      <c r="B1439" s="1"/>
      <c r="C1439" s="1"/>
      <c r="I1439" s="3"/>
      <c r="J1439" s="3"/>
      <c r="K1439" s="3"/>
      <c r="L1439" s="3"/>
    </row>
    <row r="1440" spans="2:12" x14ac:dyDescent="0.3">
      <c r="B1440" s="1"/>
      <c r="C1440" s="1"/>
      <c r="I1440" s="3"/>
      <c r="J1440" s="3"/>
      <c r="K1440" s="3"/>
      <c r="L1440" s="3"/>
    </row>
    <row r="1441" spans="2:12" x14ac:dyDescent="0.3">
      <c r="B1441" s="1"/>
      <c r="C1441" s="1"/>
      <c r="I1441" s="3"/>
      <c r="J1441" s="3"/>
      <c r="K1441" s="3"/>
      <c r="L1441" s="3"/>
    </row>
    <row r="1442" spans="2:12" x14ac:dyDescent="0.3">
      <c r="B1442" s="1"/>
      <c r="C1442" s="1"/>
      <c r="I1442" s="3"/>
      <c r="J1442" s="3"/>
      <c r="K1442" s="3"/>
      <c r="L1442" s="3"/>
    </row>
    <row r="1443" spans="2:12" x14ac:dyDescent="0.3">
      <c r="B1443" s="1"/>
      <c r="C1443" s="1"/>
      <c r="I1443" s="3"/>
      <c r="J1443" s="3"/>
      <c r="K1443" s="3"/>
      <c r="L1443" s="3"/>
    </row>
    <row r="1444" spans="2:12" x14ac:dyDescent="0.3">
      <c r="B1444" s="1"/>
      <c r="C1444" s="1"/>
      <c r="I1444" s="3"/>
      <c r="J1444" s="3"/>
      <c r="K1444" s="3"/>
      <c r="L1444" s="3"/>
    </row>
    <row r="1445" spans="2:12" x14ac:dyDescent="0.3">
      <c r="B1445" s="1"/>
      <c r="C1445" s="1"/>
      <c r="I1445" s="3"/>
      <c r="J1445" s="3"/>
      <c r="K1445" s="3"/>
      <c r="L1445" s="3"/>
    </row>
    <row r="1446" spans="2:12" x14ac:dyDescent="0.3">
      <c r="B1446" s="1"/>
      <c r="C1446" s="1"/>
      <c r="I1446" s="3"/>
      <c r="J1446" s="3"/>
      <c r="K1446" s="3"/>
      <c r="L1446" s="3"/>
    </row>
    <row r="1447" spans="2:12" x14ac:dyDescent="0.3">
      <c r="B1447" s="1"/>
      <c r="C1447" s="1"/>
      <c r="I1447" s="3"/>
      <c r="J1447" s="3"/>
      <c r="K1447" s="3"/>
      <c r="L1447" s="3"/>
    </row>
    <row r="1448" spans="2:12" x14ac:dyDescent="0.3">
      <c r="B1448" s="1"/>
      <c r="C1448" s="1"/>
      <c r="I1448" s="3"/>
      <c r="J1448" s="3"/>
      <c r="K1448" s="3"/>
      <c r="L1448" s="3"/>
    </row>
    <row r="1449" spans="2:12" x14ac:dyDescent="0.3">
      <c r="B1449" s="1"/>
      <c r="C1449" s="1"/>
      <c r="I1449" s="3"/>
      <c r="J1449" s="3"/>
      <c r="K1449" s="3"/>
      <c r="L1449" s="3"/>
    </row>
    <row r="1450" spans="2:12" x14ac:dyDescent="0.3">
      <c r="B1450" s="1"/>
      <c r="C1450" s="1"/>
      <c r="I1450" s="3"/>
      <c r="J1450" s="3"/>
      <c r="K1450" s="3"/>
      <c r="L1450" s="3"/>
    </row>
    <row r="1451" spans="2:12" x14ac:dyDescent="0.3">
      <c r="B1451" s="1"/>
      <c r="C1451" s="1"/>
      <c r="I1451" s="3"/>
      <c r="J1451" s="3"/>
      <c r="K1451" s="3"/>
      <c r="L1451" s="3"/>
    </row>
    <row r="1452" spans="2:12" x14ac:dyDescent="0.3">
      <c r="B1452" s="1"/>
      <c r="C1452" s="1"/>
      <c r="I1452" s="3"/>
      <c r="J1452" s="3"/>
      <c r="K1452" s="3"/>
      <c r="L1452" s="3"/>
    </row>
    <row r="1453" spans="2:12" x14ac:dyDescent="0.3">
      <c r="B1453" s="1"/>
      <c r="C1453" s="1"/>
      <c r="I1453" s="3"/>
      <c r="J1453" s="3"/>
      <c r="K1453" s="3"/>
      <c r="L1453" s="3"/>
    </row>
    <row r="1454" spans="2:12" x14ac:dyDescent="0.3">
      <c r="B1454" s="1"/>
      <c r="C1454" s="1"/>
      <c r="I1454" s="3"/>
      <c r="J1454" s="3"/>
      <c r="K1454" s="3"/>
      <c r="L1454" s="3"/>
    </row>
    <row r="1455" spans="2:12" x14ac:dyDescent="0.3">
      <c r="B1455" s="1"/>
      <c r="C1455" s="1"/>
      <c r="I1455" s="3"/>
      <c r="J1455" s="3"/>
      <c r="K1455" s="3"/>
      <c r="L1455" s="3"/>
    </row>
    <row r="1456" spans="2:12" x14ac:dyDescent="0.3">
      <c r="B1456" s="1"/>
      <c r="C1456" s="1"/>
      <c r="I1456" s="3"/>
      <c r="J1456" s="3"/>
      <c r="K1456" s="3"/>
      <c r="L1456" s="3"/>
    </row>
    <row r="1457" spans="2:12" x14ac:dyDescent="0.3">
      <c r="B1457" s="1"/>
      <c r="C1457" s="1"/>
      <c r="I1457" s="3"/>
      <c r="J1457" s="3"/>
      <c r="K1457" s="3"/>
      <c r="L1457" s="3"/>
    </row>
    <row r="1458" spans="2:12" x14ac:dyDescent="0.3">
      <c r="B1458" s="1"/>
      <c r="C1458" s="1"/>
      <c r="I1458" s="3"/>
      <c r="J1458" s="3"/>
      <c r="K1458" s="3"/>
      <c r="L1458" s="3"/>
    </row>
    <row r="1459" spans="2:12" x14ac:dyDescent="0.3">
      <c r="B1459" s="1"/>
      <c r="C1459" s="1"/>
      <c r="I1459" s="3"/>
      <c r="J1459" s="3"/>
      <c r="K1459" s="3"/>
      <c r="L1459" s="3"/>
    </row>
    <row r="1460" spans="2:12" x14ac:dyDescent="0.3">
      <c r="B1460" s="1"/>
      <c r="C1460" s="1"/>
      <c r="I1460" s="3"/>
      <c r="J1460" s="3"/>
      <c r="K1460" s="3"/>
      <c r="L1460" s="3"/>
    </row>
    <row r="1461" spans="2:12" x14ac:dyDescent="0.3">
      <c r="B1461" s="1"/>
      <c r="C1461" s="1"/>
      <c r="I1461" s="3"/>
      <c r="J1461" s="3"/>
      <c r="K1461" s="3"/>
      <c r="L1461" s="3"/>
    </row>
    <row r="1462" spans="2:12" x14ac:dyDescent="0.3">
      <c r="B1462" s="1"/>
      <c r="C1462" s="1"/>
      <c r="I1462" s="3"/>
      <c r="J1462" s="3"/>
      <c r="K1462" s="3"/>
      <c r="L1462" s="3"/>
    </row>
    <row r="1463" spans="2:12" x14ac:dyDescent="0.3">
      <c r="B1463" s="1"/>
      <c r="C1463" s="1"/>
      <c r="I1463" s="3"/>
      <c r="J1463" s="3"/>
      <c r="K1463" s="3"/>
      <c r="L1463" s="3"/>
    </row>
    <row r="1464" spans="2:12" x14ac:dyDescent="0.3">
      <c r="B1464" s="1"/>
      <c r="C1464" s="1"/>
      <c r="I1464" s="3"/>
      <c r="J1464" s="3"/>
      <c r="K1464" s="3"/>
      <c r="L1464" s="3"/>
    </row>
    <row r="1465" spans="2:12" x14ac:dyDescent="0.3">
      <c r="B1465" s="1"/>
      <c r="C1465" s="1"/>
      <c r="I1465" s="3"/>
      <c r="J1465" s="3"/>
      <c r="K1465" s="3"/>
      <c r="L1465" s="3"/>
    </row>
    <row r="1466" spans="2:12" x14ac:dyDescent="0.3">
      <c r="B1466" s="1"/>
      <c r="C1466" s="1"/>
      <c r="I1466" s="3"/>
      <c r="J1466" s="3"/>
      <c r="K1466" s="3"/>
      <c r="L1466" s="3"/>
    </row>
    <row r="1467" spans="2:12" x14ac:dyDescent="0.3">
      <c r="B1467" s="1"/>
      <c r="C1467" s="1"/>
      <c r="I1467" s="3"/>
      <c r="J1467" s="3"/>
      <c r="K1467" s="3"/>
      <c r="L1467" s="3"/>
    </row>
    <row r="1468" spans="2:12" x14ac:dyDescent="0.3">
      <c r="B1468" s="1"/>
      <c r="C1468" s="1"/>
      <c r="I1468" s="3"/>
      <c r="J1468" s="3"/>
      <c r="K1468" s="3"/>
      <c r="L1468" s="3"/>
    </row>
    <row r="1469" spans="2:12" x14ac:dyDescent="0.3">
      <c r="B1469" s="1"/>
      <c r="C1469" s="1"/>
      <c r="I1469" s="3"/>
      <c r="J1469" s="3"/>
      <c r="K1469" s="3"/>
      <c r="L1469" s="3"/>
    </row>
    <row r="1470" spans="2:12" x14ac:dyDescent="0.3">
      <c r="B1470" s="1"/>
      <c r="C1470" s="1"/>
      <c r="I1470" s="3"/>
      <c r="J1470" s="3"/>
      <c r="K1470" s="3"/>
      <c r="L1470" s="3"/>
    </row>
    <row r="1471" spans="2:12" x14ac:dyDescent="0.3">
      <c r="B1471" s="1"/>
      <c r="C1471" s="1"/>
      <c r="I1471" s="3"/>
      <c r="J1471" s="3"/>
      <c r="K1471" s="3"/>
      <c r="L1471" s="3"/>
    </row>
    <row r="1472" spans="2:12" x14ac:dyDescent="0.3">
      <c r="B1472" s="1"/>
      <c r="C1472" s="1"/>
      <c r="I1472" s="3"/>
      <c r="J1472" s="3"/>
      <c r="K1472" s="3"/>
      <c r="L1472" s="3"/>
    </row>
    <row r="1473" spans="2:12" x14ac:dyDescent="0.3">
      <c r="B1473" s="1"/>
      <c r="C1473" s="1"/>
      <c r="I1473" s="3"/>
      <c r="J1473" s="3"/>
      <c r="K1473" s="3"/>
      <c r="L1473" s="3"/>
    </row>
    <row r="1474" spans="2:12" x14ac:dyDescent="0.3">
      <c r="B1474" s="1"/>
      <c r="C1474" s="1"/>
      <c r="I1474" s="3"/>
      <c r="J1474" s="3"/>
      <c r="K1474" s="3"/>
      <c r="L1474" s="3"/>
    </row>
    <row r="1475" spans="2:12" x14ac:dyDescent="0.3">
      <c r="B1475" s="1"/>
      <c r="C1475" s="1"/>
      <c r="I1475" s="3"/>
      <c r="J1475" s="3"/>
      <c r="K1475" s="3"/>
      <c r="L1475" s="3"/>
    </row>
    <row r="1476" spans="2:12" x14ac:dyDescent="0.3">
      <c r="B1476" s="1"/>
      <c r="C1476" s="1"/>
      <c r="I1476" s="3"/>
      <c r="J1476" s="3"/>
      <c r="K1476" s="3"/>
      <c r="L1476" s="3"/>
    </row>
    <row r="1477" spans="2:12" x14ac:dyDescent="0.3">
      <c r="B1477" s="1"/>
      <c r="C1477" s="1"/>
      <c r="I1477" s="3"/>
      <c r="J1477" s="3"/>
      <c r="K1477" s="3"/>
      <c r="L1477" s="3"/>
    </row>
    <row r="1478" spans="2:12" x14ac:dyDescent="0.3">
      <c r="B1478" s="1"/>
      <c r="C1478" s="1"/>
      <c r="I1478" s="3"/>
      <c r="J1478" s="3"/>
      <c r="K1478" s="3"/>
      <c r="L1478" s="3"/>
    </row>
    <row r="1479" spans="2:12" x14ac:dyDescent="0.3">
      <c r="B1479" s="1"/>
      <c r="C1479" s="1"/>
      <c r="I1479" s="3"/>
      <c r="J1479" s="3"/>
      <c r="K1479" s="3"/>
      <c r="L1479" s="3"/>
    </row>
    <row r="1480" spans="2:12" x14ac:dyDescent="0.3">
      <c r="B1480" s="1"/>
      <c r="C1480" s="1"/>
      <c r="I1480" s="3"/>
      <c r="J1480" s="3"/>
      <c r="K1480" s="3"/>
      <c r="L1480" s="3"/>
    </row>
    <row r="1481" spans="2:12" x14ac:dyDescent="0.3">
      <c r="B1481" s="1"/>
      <c r="C1481" s="1"/>
      <c r="I1481" s="3"/>
      <c r="J1481" s="3"/>
      <c r="K1481" s="3"/>
      <c r="L1481" s="3"/>
    </row>
    <row r="1482" spans="2:12" x14ac:dyDescent="0.3">
      <c r="B1482" s="1"/>
      <c r="C1482" s="1"/>
      <c r="I1482" s="3"/>
      <c r="J1482" s="3"/>
      <c r="K1482" s="3"/>
      <c r="L1482" s="3"/>
    </row>
    <row r="1483" spans="2:12" x14ac:dyDescent="0.3">
      <c r="B1483" s="1"/>
      <c r="C1483" s="1"/>
      <c r="I1483" s="3"/>
      <c r="J1483" s="3"/>
      <c r="K1483" s="3"/>
      <c r="L1483" s="3"/>
    </row>
    <row r="1484" spans="2:12" x14ac:dyDescent="0.3">
      <c r="B1484" s="1"/>
      <c r="C1484" s="1"/>
      <c r="I1484" s="3"/>
      <c r="J1484" s="3"/>
      <c r="K1484" s="3"/>
      <c r="L1484" s="3"/>
    </row>
    <row r="1485" spans="2:12" x14ac:dyDescent="0.3">
      <c r="B1485" s="1"/>
      <c r="C1485" s="1"/>
      <c r="I1485" s="3"/>
      <c r="J1485" s="3"/>
      <c r="K1485" s="3"/>
      <c r="L1485" s="3"/>
    </row>
    <row r="1486" spans="2:12" x14ac:dyDescent="0.3">
      <c r="B1486" s="1"/>
      <c r="C1486" s="1"/>
      <c r="I1486" s="3"/>
      <c r="J1486" s="3"/>
      <c r="K1486" s="3"/>
      <c r="L1486" s="3"/>
    </row>
    <row r="1487" spans="2:12" x14ac:dyDescent="0.3">
      <c r="B1487" s="1"/>
      <c r="C1487" s="1"/>
      <c r="I1487" s="3"/>
      <c r="J1487" s="3"/>
      <c r="K1487" s="3"/>
      <c r="L1487" s="3"/>
    </row>
    <row r="1488" spans="2:12" x14ac:dyDescent="0.3">
      <c r="B1488" s="1"/>
      <c r="C1488" s="1"/>
      <c r="I1488" s="3"/>
      <c r="J1488" s="3"/>
      <c r="K1488" s="3"/>
      <c r="L1488" s="3"/>
    </row>
    <row r="1489" spans="2:12" x14ac:dyDescent="0.3">
      <c r="B1489" s="1"/>
      <c r="C1489" s="1"/>
      <c r="I1489" s="3"/>
      <c r="J1489" s="3"/>
      <c r="K1489" s="3"/>
      <c r="L1489" s="3"/>
    </row>
    <row r="1490" spans="2:12" x14ac:dyDescent="0.3">
      <c r="B1490" s="1"/>
      <c r="C1490" s="1"/>
      <c r="I1490" s="3"/>
      <c r="J1490" s="3"/>
      <c r="K1490" s="3"/>
      <c r="L1490" s="3"/>
    </row>
    <row r="1491" spans="2:12" x14ac:dyDescent="0.3">
      <c r="B1491" s="1"/>
      <c r="C1491" s="1"/>
      <c r="I1491" s="3"/>
      <c r="J1491" s="3"/>
      <c r="K1491" s="3"/>
      <c r="L1491" s="3"/>
    </row>
    <row r="1492" spans="2:12" x14ac:dyDescent="0.3">
      <c r="B1492" s="1"/>
      <c r="C1492" s="1"/>
      <c r="I1492" s="3"/>
      <c r="J1492" s="3"/>
      <c r="K1492" s="3"/>
      <c r="L1492" s="3"/>
    </row>
    <row r="1493" spans="2:12" x14ac:dyDescent="0.3">
      <c r="B1493" s="1"/>
      <c r="C1493" s="1"/>
      <c r="I1493" s="3"/>
      <c r="J1493" s="3"/>
      <c r="K1493" s="3"/>
      <c r="L1493" s="3"/>
    </row>
    <row r="1494" spans="2:12" x14ac:dyDescent="0.3">
      <c r="B1494" s="1"/>
      <c r="C1494" s="1"/>
      <c r="I1494" s="3"/>
      <c r="J1494" s="3"/>
      <c r="K1494" s="3"/>
      <c r="L1494" s="3"/>
    </row>
    <row r="1495" spans="2:12" x14ac:dyDescent="0.3">
      <c r="B1495" s="1"/>
      <c r="C1495" s="1"/>
      <c r="I1495" s="3"/>
      <c r="J1495" s="3"/>
      <c r="K1495" s="3"/>
      <c r="L1495" s="3"/>
    </row>
    <row r="1496" spans="2:12" x14ac:dyDescent="0.3">
      <c r="B1496" s="1"/>
      <c r="C1496" s="1"/>
      <c r="I1496" s="3"/>
      <c r="J1496" s="3"/>
      <c r="K1496" s="3"/>
      <c r="L1496" s="3"/>
    </row>
    <row r="1497" spans="2:12" x14ac:dyDescent="0.3">
      <c r="B1497" s="1"/>
      <c r="C1497" s="1"/>
      <c r="I1497" s="3"/>
      <c r="J1497" s="3"/>
      <c r="K1497" s="3"/>
      <c r="L1497" s="3"/>
    </row>
    <row r="1498" spans="2:12" x14ac:dyDescent="0.3">
      <c r="B1498" s="1"/>
      <c r="C1498" s="1"/>
      <c r="I1498" s="3"/>
      <c r="J1498" s="3"/>
      <c r="K1498" s="3"/>
      <c r="L1498" s="3"/>
    </row>
    <row r="1499" spans="2:12" x14ac:dyDescent="0.3">
      <c r="B1499" s="1"/>
      <c r="C1499" s="1"/>
      <c r="I1499" s="3"/>
      <c r="J1499" s="3"/>
      <c r="K1499" s="3"/>
      <c r="L1499" s="3"/>
    </row>
    <row r="1500" spans="2:12" x14ac:dyDescent="0.3">
      <c r="B1500" s="1"/>
      <c r="C1500" s="1"/>
      <c r="I1500" s="3"/>
      <c r="J1500" s="3"/>
      <c r="K1500" s="3"/>
      <c r="L1500" s="3"/>
    </row>
    <row r="1501" spans="2:12" x14ac:dyDescent="0.3">
      <c r="B1501" s="1"/>
      <c r="C1501" s="1"/>
      <c r="I1501" s="3"/>
      <c r="J1501" s="3"/>
      <c r="K1501" s="3"/>
      <c r="L1501" s="3"/>
    </row>
    <row r="1502" spans="2:12" x14ac:dyDescent="0.3">
      <c r="B1502" s="1"/>
      <c r="C1502" s="1"/>
      <c r="I1502" s="3"/>
      <c r="J1502" s="3"/>
      <c r="K1502" s="3"/>
      <c r="L1502" s="3"/>
    </row>
    <row r="1503" spans="2:12" x14ac:dyDescent="0.3">
      <c r="B1503" s="1"/>
      <c r="C1503" s="1"/>
      <c r="I1503" s="3"/>
      <c r="J1503" s="3"/>
      <c r="K1503" s="3"/>
      <c r="L1503" s="3"/>
    </row>
    <row r="1504" spans="2:12" x14ac:dyDescent="0.3">
      <c r="B1504" s="1"/>
      <c r="C1504" s="1"/>
      <c r="I1504" s="3"/>
      <c r="J1504" s="3"/>
      <c r="K1504" s="3"/>
      <c r="L1504" s="3"/>
    </row>
    <row r="1505" spans="2:12" x14ac:dyDescent="0.3">
      <c r="B1505" s="1"/>
      <c r="C1505" s="1"/>
      <c r="I1505" s="3"/>
      <c r="J1505" s="3"/>
      <c r="K1505" s="3"/>
      <c r="L1505" s="3"/>
    </row>
    <row r="1506" spans="2:12" x14ac:dyDescent="0.3">
      <c r="B1506" s="1"/>
      <c r="C1506" s="1"/>
      <c r="I1506" s="3"/>
      <c r="J1506" s="3"/>
      <c r="K1506" s="3"/>
      <c r="L1506" s="3"/>
    </row>
    <row r="1507" spans="2:12" x14ac:dyDescent="0.3">
      <c r="B1507" s="1"/>
      <c r="C1507" s="1"/>
      <c r="I1507" s="3"/>
      <c r="J1507" s="3"/>
      <c r="K1507" s="3"/>
      <c r="L1507" s="3"/>
    </row>
    <row r="1508" spans="2:12" x14ac:dyDescent="0.3">
      <c r="B1508" s="1"/>
      <c r="C1508" s="1"/>
      <c r="I1508" s="3"/>
      <c r="J1508" s="3"/>
      <c r="K1508" s="3"/>
      <c r="L1508" s="3"/>
    </row>
    <row r="1509" spans="2:12" x14ac:dyDescent="0.3">
      <c r="B1509" s="1"/>
      <c r="C1509" s="1"/>
      <c r="I1509" s="3"/>
      <c r="J1509" s="3"/>
      <c r="K1509" s="3"/>
      <c r="L1509" s="3"/>
    </row>
    <row r="1510" spans="2:12" x14ac:dyDescent="0.3">
      <c r="B1510" s="1"/>
      <c r="C1510" s="1"/>
      <c r="I1510" s="3"/>
      <c r="J1510" s="3"/>
      <c r="K1510" s="3"/>
      <c r="L1510" s="3"/>
    </row>
    <row r="1511" spans="2:12" x14ac:dyDescent="0.3">
      <c r="B1511" s="1"/>
      <c r="C1511" s="1"/>
      <c r="I1511" s="3"/>
      <c r="J1511" s="3"/>
      <c r="K1511" s="3"/>
      <c r="L1511" s="3"/>
    </row>
    <row r="1512" spans="2:12" x14ac:dyDescent="0.3">
      <c r="B1512" s="1"/>
      <c r="C1512" s="1"/>
      <c r="I1512" s="3"/>
      <c r="J1512" s="3"/>
      <c r="K1512" s="3"/>
      <c r="L1512" s="3"/>
    </row>
    <row r="1513" spans="2:12" x14ac:dyDescent="0.3">
      <c r="B1513" s="1"/>
      <c r="C1513" s="1"/>
      <c r="I1513" s="3"/>
      <c r="J1513" s="3"/>
      <c r="K1513" s="3"/>
      <c r="L1513" s="3"/>
    </row>
    <row r="1514" spans="2:12" x14ac:dyDescent="0.3">
      <c r="B1514" s="1"/>
      <c r="C1514" s="1"/>
      <c r="I1514" s="3"/>
      <c r="J1514" s="3"/>
      <c r="K1514" s="3"/>
      <c r="L1514" s="3"/>
    </row>
    <row r="1515" spans="2:12" x14ac:dyDescent="0.3">
      <c r="B1515" s="1"/>
      <c r="C1515" s="1"/>
      <c r="I1515" s="3"/>
      <c r="J1515" s="3"/>
      <c r="K1515" s="3"/>
      <c r="L1515" s="3"/>
    </row>
    <row r="1516" spans="2:12" x14ac:dyDescent="0.3">
      <c r="B1516" s="1"/>
      <c r="C1516" s="1"/>
      <c r="I1516" s="3"/>
      <c r="J1516" s="3"/>
      <c r="K1516" s="3"/>
      <c r="L1516" s="3"/>
    </row>
    <row r="1517" spans="2:12" x14ac:dyDescent="0.3">
      <c r="B1517" s="1"/>
      <c r="C1517" s="1"/>
      <c r="I1517" s="3"/>
      <c r="J1517" s="3"/>
      <c r="K1517" s="3"/>
      <c r="L1517" s="3"/>
    </row>
    <row r="1518" spans="2:12" x14ac:dyDescent="0.3">
      <c r="B1518" s="1"/>
      <c r="C1518" s="1"/>
      <c r="I1518" s="3"/>
      <c r="J1518" s="3"/>
      <c r="K1518" s="3"/>
      <c r="L1518" s="3"/>
    </row>
    <row r="1519" spans="2:12" x14ac:dyDescent="0.3">
      <c r="B1519" s="1"/>
      <c r="C1519" s="1"/>
      <c r="I1519" s="3"/>
      <c r="J1519" s="3"/>
      <c r="K1519" s="3"/>
      <c r="L1519" s="3"/>
    </row>
    <row r="1520" spans="2:12" x14ac:dyDescent="0.3">
      <c r="B1520" s="1"/>
      <c r="C1520" s="1"/>
      <c r="I1520" s="3"/>
      <c r="J1520" s="3"/>
      <c r="K1520" s="3"/>
      <c r="L1520" s="3"/>
    </row>
    <row r="1521" spans="2:12" x14ac:dyDescent="0.3">
      <c r="B1521" s="1"/>
      <c r="C1521" s="1"/>
      <c r="I1521" s="3"/>
      <c r="J1521" s="3"/>
      <c r="K1521" s="3"/>
      <c r="L1521" s="3"/>
    </row>
    <row r="1522" spans="2:12" x14ac:dyDescent="0.3">
      <c r="B1522" s="1"/>
      <c r="C1522" s="1"/>
      <c r="I1522" s="3"/>
      <c r="J1522" s="3"/>
      <c r="K1522" s="3"/>
      <c r="L1522" s="3"/>
    </row>
    <row r="1523" spans="2:12" x14ac:dyDescent="0.3">
      <c r="B1523" s="1"/>
      <c r="C1523" s="1"/>
      <c r="I1523" s="3"/>
      <c r="J1523" s="3"/>
      <c r="K1523" s="3"/>
      <c r="L1523" s="3"/>
    </row>
    <row r="1524" spans="2:12" x14ac:dyDescent="0.3">
      <c r="B1524" s="1"/>
      <c r="C1524" s="1"/>
      <c r="I1524" s="3"/>
      <c r="J1524" s="3"/>
      <c r="K1524" s="3"/>
      <c r="L1524" s="3"/>
    </row>
    <row r="1525" spans="2:12" x14ac:dyDescent="0.3">
      <c r="B1525" s="1"/>
      <c r="C1525" s="1"/>
      <c r="I1525" s="3"/>
      <c r="J1525" s="3"/>
      <c r="K1525" s="3"/>
      <c r="L1525" s="3"/>
    </row>
    <row r="1526" spans="2:12" x14ac:dyDescent="0.3">
      <c r="B1526" s="1"/>
      <c r="C1526" s="1"/>
      <c r="I1526" s="3"/>
      <c r="J1526" s="3"/>
      <c r="K1526" s="3"/>
      <c r="L1526" s="3"/>
    </row>
    <row r="1527" spans="2:12" x14ac:dyDescent="0.3">
      <c r="B1527" s="1"/>
      <c r="C1527" s="1"/>
      <c r="I1527" s="3"/>
      <c r="J1527" s="3"/>
      <c r="K1527" s="3"/>
      <c r="L1527" s="3"/>
    </row>
    <row r="1528" spans="2:12" x14ac:dyDescent="0.3">
      <c r="B1528" s="1"/>
      <c r="C1528" s="1"/>
      <c r="I1528" s="3"/>
      <c r="J1528" s="3"/>
      <c r="K1528" s="3"/>
      <c r="L1528" s="3"/>
    </row>
    <row r="1529" spans="2:12" x14ac:dyDescent="0.3">
      <c r="B1529" s="1"/>
      <c r="C1529" s="1"/>
      <c r="I1529" s="3"/>
      <c r="J1529" s="3"/>
      <c r="K1529" s="3"/>
      <c r="L1529" s="3"/>
    </row>
    <row r="1530" spans="2:12" x14ac:dyDescent="0.3">
      <c r="B1530" s="1"/>
      <c r="C1530" s="1"/>
      <c r="I1530" s="3"/>
      <c r="J1530" s="3"/>
      <c r="K1530" s="3"/>
      <c r="L1530" s="3"/>
    </row>
    <row r="1531" spans="2:12" x14ac:dyDescent="0.3">
      <c r="B1531" s="1"/>
      <c r="C1531" s="1"/>
      <c r="I1531" s="3"/>
      <c r="J1531" s="3"/>
      <c r="K1531" s="3"/>
      <c r="L1531" s="3"/>
    </row>
    <row r="1532" spans="2:12" x14ac:dyDescent="0.3">
      <c r="B1532" s="1"/>
      <c r="C1532" s="1"/>
      <c r="I1532" s="3"/>
      <c r="J1532" s="3"/>
      <c r="K1532" s="3"/>
      <c r="L1532" s="3"/>
    </row>
    <row r="1533" spans="2:12" x14ac:dyDescent="0.3">
      <c r="B1533" s="1"/>
      <c r="C1533" s="1"/>
      <c r="I1533" s="3"/>
      <c r="J1533" s="3"/>
      <c r="K1533" s="3"/>
      <c r="L1533" s="3"/>
    </row>
    <row r="1534" spans="2:12" x14ac:dyDescent="0.3">
      <c r="B1534" s="1"/>
      <c r="C1534" s="1"/>
      <c r="I1534" s="3"/>
      <c r="J1534" s="3"/>
      <c r="K1534" s="3"/>
      <c r="L1534" s="3"/>
    </row>
    <row r="1535" spans="2:12" x14ac:dyDescent="0.3">
      <c r="B1535" s="1"/>
      <c r="C1535" s="1"/>
      <c r="I1535" s="3"/>
      <c r="J1535" s="3"/>
      <c r="K1535" s="3"/>
      <c r="L1535" s="3"/>
    </row>
    <row r="1536" spans="2:12" x14ac:dyDescent="0.3">
      <c r="B1536" s="1"/>
      <c r="C1536" s="1"/>
      <c r="I1536" s="3"/>
      <c r="J1536" s="3"/>
      <c r="K1536" s="3"/>
      <c r="L1536" s="3"/>
    </row>
    <row r="1537" spans="2:12" x14ac:dyDescent="0.3">
      <c r="B1537" s="1"/>
      <c r="C1537" s="1"/>
      <c r="I1537" s="3"/>
      <c r="J1537" s="3"/>
      <c r="K1537" s="3"/>
      <c r="L1537" s="3"/>
    </row>
    <row r="1538" spans="2:12" x14ac:dyDescent="0.3">
      <c r="B1538" s="1"/>
      <c r="C1538" s="1"/>
      <c r="I1538" s="3"/>
      <c r="J1538" s="3"/>
      <c r="K1538" s="3"/>
      <c r="L1538" s="3"/>
    </row>
    <row r="1539" spans="2:12" x14ac:dyDescent="0.3">
      <c r="B1539" s="1"/>
      <c r="C1539" s="1"/>
      <c r="I1539" s="3"/>
      <c r="J1539" s="3"/>
      <c r="K1539" s="3"/>
      <c r="L1539" s="3"/>
    </row>
    <row r="1540" spans="2:12" x14ac:dyDescent="0.3">
      <c r="B1540" s="1"/>
      <c r="C1540" s="1"/>
      <c r="I1540" s="3"/>
      <c r="J1540" s="3"/>
      <c r="K1540" s="3"/>
      <c r="L1540" s="3"/>
    </row>
    <row r="1541" spans="2:12" x14ac:dyDescent="0.3">
      <c r="B1541" s="1"/>
      <c r="C1541" s="1"/>
      <c r="I1541" s="3"/>
      <c r="J1541" s="3"/>
      <c r="K1541" s="3"/>
      <c r="L1541" s="3"/>
    </row>
    <row r="1542" spans="2:12" x14ac:dyDescent="0.3">
      <c r="B1542" s="1"/>
      <c r="C1542" s="1"/>
      <c r="I1542" s="3"/>
      <c r="J1542" s="3"/>
      <c r="K1542" s="3"/>
      <c r="L1542" s="3"/>
    </row>
    <row r="1543" spans="2:12" x14ac:dyDescent="0.3">
      <c r="B1543" s="1"/>
      <c r="C1543" s="1"/>
      <c r="I1543" s="3"/>
      <c r="J1543" s="3"/>
      <c r="K1543" s="3"/>
      <c r="L1543" s="3"/>
    </row>
    <row r="1544" spans="2:12" x14ac:dyDescent="0.3">
      <c r="B1544" s="1"/>
      <c r="C1544" s="1"/>
      <c r="I1544" s="3"/>
      <c r="J1544" s="3"/>
      <c r="K1544" s="3"/>
      <c r="L1544" s="3"/>
    </row>
    <row r="1545" spans="2:12" x14ac:dyDescent="0.3">
      <c r="B1545" s="1"/>
      <c r="C1545" s="1"/>
      <c r="I1545" s="3"/>
      <c r="J1545" s="3"/>
      <c r="K1545" s="3"/>
      <c r="L1545" s="3"/>
    </row>
    <row r="1546" spans="2:12" x14ac:dyDescent="0.3">
      <c r="B1546" s="1"/>
      <c r="C1546" s="1"/>
      <c r="I1546" s="3"/>
      <c r="J1546" s="3"/>
      <c r="K1546" s="3"/>
      <c r="L1546" s="3"/>
    </row>
    <row r="1547" spans="2:12" x14ac:dyDescent="0.3">
      <c r="B1547" s="1"/>
      <c r="C1547" s="1"/>
      <c r="I1547" s="3"/>
      <c r="J1547" s="3"/>
      <c r="K1547" s="3"/>
      <c r="L1547" s="3"/>
    </row>
    <row r="1548" spans="2:12" x14ac:dyDescent="0.3">
      <c r="B1548" s="1"/>
      <c r="C1548" s="1"/>
      <c r="I1548" s="3"/>
      <c r="J1548" s="3"/>
      <c r="K1548" s="3"/>
      <c r="L1548" s="3"/>
    </row>
    <row r="1549" spans="2:12" x14ac:dyDescent="0.3">
      <c r="B1549" s="1"/>
      <c r="C1549" s="1"/>
      <c r="I1549" s="3"/>
      <c r="J1549" s="3"/>
      <c r="K1549" s="3"/>
      <c r="L1549" s="3"/>
    </row>
    <row r="1550" spans="2:12" x14ac:dyDescent="0.3">
      <c r="B1550" s="1"/>
      <c r="C1550" s="1"/>
      <c r="I1550" s="3"/>
      <c r="J1550" s="3"/>
      <c r="K1550" s="3"/>
      <c r="L1550" s="3"/>
    </row>
    <row r="1551" spans="2:12" x14ac:dyDescent="0.3">
      <c r="B1551" s="1"/>
      <c r="C1551" s="1"/>
      <c r="I1551" s="3"/>
      <c r="J1551" s="3"/>
      <c r="K1551" s="3"/>
      <c r="L1551" s="3"/>
    </row>
    <row r="1552" spans="2:12" x14ac:dyDescent="0.3">
      <c r="B1552" s="1"/>
      <c r="C1552" s="1"/>
      <c r="I1552" s="3"/>
      <c r="J1552" s="3"/>
      <c r="K1552" s="3"/>
      <c r="L1552" s="3"/>
    </row>
    <row r="1553" spans="2:12" x14ac:dyDescent="0.3">
      <c r="B1553" s="1"/>
      <c r="C1553" s="1"/>
      <c r="I1553" s="3"/>
      <c r="J1553" s="3"/>
      <c r="K1553" s="3"/>
      <c r="L1553" s="3"/>
    </row>
    <row r="1554" spans="2:12" x14ac:dyDescent="0.3">
      <c r="B1554" s="1"/>
      <c r="C1554" s="1"/>
      <c r="I1554" s="3"/>
      <c r="J1554" s="3"/>
      <c r="K1554" s="3"/>
      <c r="L1554" s="3"/>
    </row>
    <row r="1555" spans="2:12" x14ac:dyDescent="0.3">
      <c r="B1555" s="1"/>
      <c r="C1555" s="1"/>
      <c r="I1555" s="3"/>
      <c r="J1555" s="3"/>
      <c r="K1555" s="3"/>
      <c r="L1555" s="3"/>
    </row>
    <row r="1556" spans="2:12" x14ac:dyDescent="0.3">
      <c r="B1556" s="1"/>
      <c r="C1556" s="1"/>
      <c r="I1556" s="3"/>
      <c r="J1556" s="3"/>
      <c r="K1556" s="3"/>
      <c r="L1556" s="3"/>
    </row>
    <row r="1557" spans="2:12" x14ac:dyDescent="0.3">
      <c r="B1557" s="1"/>
      <c r="C1557" s="1"/>
      <c r="I1557" s="3"/>
      <c r="J1557" s="3"/>
      <c r="K1557" s="3"/>
      <c r="L1557" s="3"/>
    </row>
    <row r="1558" spans="2:12" x14ac:dyDescent="0.3">
      <c r="B1558" s="1"/>
      <c r="C1558" s="1"/>
      <c r="I1558" s="3"/>
      <c r="J1558" s="3"/>
      <c r="K1558" s="3"/>
      <c r="L1558" s="3"/>
    </row>
    <row r="1559" spans="2:12" x14ac:dyDescent="0.3">
      <c r="B1559" s="1"/>
      <c r="C1559" s="1"/>
      <c r="I1559" s="3"/>
      <c r="J1559" s="3"/>
      <c r="K1559" s="3"/>
      <c r="L1559" s="3"/>
    </row>
    <row r="1560" spans="2:12" x14ac:dyDescent="0.3">
      <c r="B1560" s="1"/>
      <c r="C1560" s="1"/>
      <c r="I1560" s="3"/>
      <c r="J1560" s="3"/>
      <c r="K1560" s="3"/>
      <c r="L1560" s="3"/>
    </row>
    <row r="1561" spans="2:12" x14ac:dyDescent="0.3">
      <c r="B1561" s="1"/>
      <c r="C1561" s="1"/>
      <c r="I1561" s="3"/>
      <c r="J1561" s="3"/>
      <c r="K1561" s="3"/>
      <c r="L1561" s="3"/>
    </row>
    <row r="1562" spans="2:12" x14ac:dyDescent="0.3">
      <c r="B1562" s="1"/>
      <c r="C1562" s="1"/>
      <c r="I1562" s="3"/>
      <c r="J1562" s="3"/>
      <c r="K1562" s="3"/>
      <c r="L1562" s="3"/>
    </row>
    <row r="1563" spans="2:12" x14ac:dyDescent="0.3">
      <c r="B1563" s="1"/>
      <c r="C1563" s="1"/>
      <c r="I1563" s="3"/>
      <c r="J1563" s="3"/>
      <c r="K1563" s="3"/>
      <c r="L1563" s="3"/>
    </row>
    <row r="1564" spans="2:12" x14ac:dyDescent="0.3">
      <c r="B1564" s="1"/>
      <c r="C1564" s="1"/>
      <c r="I1564" s="3"/>
      <c r="J1564" s="3"/>
      <c r="K1564" s="3"/>
      <c r="L1564" s="3"/>
    </row>
    <row r="1565" spans="2:12" x14ac:dyDescent="0.3">
      <c r="B1565" s="1"/>
      <c r="C1565" s="1"/>
      <c r="I1565" s="3"/>
      <c r="J1565" s="3"/>
      <c r="K1565" s="3"/>
      <c r="L1565" s="3"/>
    </row>
    <row r="1566" spans="2:12" x14ac:dyDescent="0.3">
      <c r="B1566" s="1"/>
      <c r="C1566" s="1"/>
      <c r="I1566" s="3"/>
      <c r="J1566" s="3"/>
      <c r="K1566" s="3"/>
      <c r="L1566" s="3"/>
    </row>
    <row r="1567" spans="2:12" x14ac:dyDescent="0.3">
      <c r="B1567" s="1"/>
      <c r="C1567" s="1"/>
      <c r="I1567" s="3"/>
      <c r="J1567" s="3"/>
      <c r="K1567" s="3"/>
      <c r="L1567" s="3"/>
    </row>
    <row r="1568" spans="2:12" x14ac:dyDescent="0.3">
      <c r="B1568" s="1"/>
      <c r="C1568" s="1"/>
      <c r="I1568" s="3"/>
      <c r="J1568" s="3"/>
      <c r="K1568" s="3"/>
      <c r="L1568" s="3"/>
    </row>
    <row r="1569" spans="2:12" x14ac:dyDescent="0.3">
      <c r="B1569" s="1"/>
      <c r="C1569" s="1"/>
      <c r="I1569" s="3"/>
      <c r="J1569" s="3"/>
      <c r="K1569" s="3"/>
      <c r="L1569" s="3"/>
    </row>
    <row r="1570" spans="2:12" x14ac:dyDescent="0.3">
      <c r="B1570" s="1"/>
      <c r="C1570" s="1"/>
      <c r="I1570" s="3"/>
      <c r="J1570" s="3"/>
      <c r="K1570" s="3"/>
      <c r="L1570" s="3"/>
    </row>
    <row r="1571" spans="2:12" x14ac:dyDescent="0.3">
      <c r="B1571" s="1"/>
      <c r="C1571" s="1"/>
      <c r="I1571" s="3"/>
      <c r="J1571" s="3"/>
      <c r="K1571" s="3"/>
      <c r="L1571" s="3"/>
    </row>
    <row r="1572" spans="2:12" x14ac:dyDescent="0.3">
      <c r="B1572" s="1"/>
      <c r="C1572" s="1"/>
      <c r="I1572" s="3"/>
      <c r="J1572" s="3"/>
      <c r="K1572" s="3"/>
      <c r="L1572" s="3"/>
    </row>
    <row r="1573" spans="2:12" x14ac:dyDescent="0.3">
      <c r="B1573" s="1"/>
      <c r="C1573" s="1"/>
      <c r="I1573" s="3"/>
      <c r="J1573" s="3"/>
      <c r="K1573" s="3"/>
      <c r="L1573" s="3"/>
    </row>
    <row r="1574" spans="2:12" x14ac:dyDescent="0.3">
      <c r="B1574" s="1"/>
      <c r="C1574" s="1"/>
      <c r="I1574" s="3"/>
      <c r="J1574" s="3"/>
      <c r="K1574" s="3"/>
      <c r="L1574" s="3"/>
    </row>
    <row r="1575" spans="2:12" x14ac:dyDescent="0.3">
      <c r="B1575" s="1"/>
      <c r="C1575" s="1"/>
      <c r="I1575" s="3"/>
      <c r="J1575" s="3"/>
      <c r="K1575" s="3"/>
      <c r="L1575" s="3"/>
    </row>
    <row r="1576" spans="2:12" x14ac:dyDescent="0.3">
      <c r="B1576" s="1"/>
      <c r="C1576" s="1"/>
      <c r="I1576" s="3"/>
      <c r="J1576" s="3"/>
      <c r="K1576" s="3"/>
      <c r="L1576" s="3"/>
    </row>
    <row r="1577" spans="2:12" x14ac:dyDescent="0.3">
      <c r="B1577" s="1"/>
      <c r="C1577" s="1"/>
      <c r="I1577" s="3"/>
      <c r="J1577" s="3"/>
      <c r="K1577" s="3"/>
      <c r="L1577" s="3"/>
    </row>
    <row r="1578" spans="2:12" x14ac:dyDescent="0.3">
      <c r="B1578" s="1"/>
      <c r="C1578" s="1"/>
      <c r="I1578" s="3"/>
      <c r="J1578" s="3"/>
      <c r="K1578" s="3"/>
      <c r="L1578" s="3"/>
    </row>
    <row r="1579" spans="2:12" x14ac:dyDescent="0.3">
      <c r="B1579" s="1"/>
      <c r="C1579" s="1"/>
      <c r="I1579" s="3"/>
      <c r="J1579" s="3"/>
      <c r="K1579" s="3"/>
      <c r="L1579" s="3"/>
    </row>
    <row r="1580" spans="2:12" x14ac:dyDescent="0.3">
      <c r="B1580" s="1"/>
      <c r="C1580" s="1"/>
      <c r="I1580" s="3"/>
      <c r="J1580" s="3"/>
      <c r="K1580" s="3"/>
      <c r="L1580" s="3"/>
    </row>
    <row r="1581" spans="2:12" x14ac:dyDescent="0.3">
      <c r="B1581" s="1"/>
      <c r="C1581" s="1"/>
      <c r="I1581" s="3"/>
      <c r="J1581" s="3"/>
      <c r="K1581" s="3"/>
      <c r="L1581" s="3"/>
    </row>
    <row r="1582" spans="2:12" x14ac:dyDescent="0.3">
      <c r="B1582" s="1"/>
      <c r="C1582" s="1"/>
      <c r="I1582" s="3"/>
      <c r="J1582" s="3"/>
      <c r="K1582" s="3"/>
      <c r="L1582" s="3"/>
    </row>
    <row r="1583" spans="2:12" x14ac:dyDescent="0.3">
      <c r="B1583" s="1"/>
      <c r="C1583" s="1"/>
      <c r="I1583" s="3"/>
      <c r="J1583" s="3"/>
      <c r="K1583" s="3"/>
      <c r="L1583" s="3"/>
    </row>
    <row r="1584" spans="2:12" x14ac:dyDescent="0.3">
      <c r="B1584" s="1"/>
      <c r="C1584" s="1"/>
      <c r="I1584" s="3"/>
      <c r="J1584" s="3"/>
      <c r="K1584" s="3"/>
      <c r="L1584" s="3"/>
    </row>
    <row r="1585" spans="2:12" x14ac:dyDescent="0.3">
      <c r="B1585" s="1"/>
      <c r="C1585" s="1"/>
      <c r="I1585" s="3"/>
      <c r="J1585" s="3"/>
      <c r="K1585" s="3"/>
      <c r="L1585" s="3"/>
    </row>
    <row r="1586" spans="2:12" x14ac:dyDescent="0.3">
      <c r="B1586" s="1"/>
      <c r="C1586" s="1"/>
      <c r="I1586" s="3"/>
      <c r="J1586" s="3"/>
      <c r="K1586" s="3"/>
      <c r="L1586" s="3"/>
    </row>
    <row r="1587" spans="2:12" x14ac:dyDescent="0.3">
      <c r="B1587" s="1"/>
      <c r="C1587" s="1"/>
      <c r="I1587" s="3"/>
      <c r="J1587" s="3"/>
      <c r="K1587" s="3"/>
      <c r="L1587" s="3"/>
    </row>
    <row r="1588" spans="2:12" x14ac:dyDescent="0.3">
      <c r="B1588" s="1"/>
      <c r="C1588" s="1"/>
      <c r="I1588" s="3"/>
      <c r="J1588" s="3"/>
      <c r="K1588" s="3"/>
      <c r="L1588" s="3"/>
    </row>
    <row r="1589" spans="2:12" x14ac:dyDescent="0.3">
      <c r="B1589" s="1"/>
      <c r="C1589" s="1"/>
      <c r="I1589" s="3"/>
      <c r="J1589" s="3"/>
      <c r="K1589" s="3"/>
      <c r="L1589" s="3"/>
    </row>
    <row r="1590" spans="2:12" x14ac:dyDescent="0.3">
      <c r="B1590" s="1"/>
      <c r="C1590" s="1"/>
      <c r="I1590" s="3"/>
      <c r="J1590" s="3"/>
      <c r="K1590" s="3"/>
      <c r="L1590" s="3"/>
    </row>
    <row r="1591" spans="2:12" x14ac:dyDescent="0.3">
      <c r="B1591" s="1"/>
      <c r="C1591" s="1"/>
      <c r="I1591" s="3"/>
      <c r="J1591" s="3"/>
      <c r="K1591" s="3"/>
      <c r="L1591" s="3"/>
    </row>
    <row r="1592" spans="2:12" x14ac:dyDescent="0.3">
      <c r="B1592" s="1"/>
      <c r="C1592" s="1"/>
      <c r="I1592" s="3"/>
      <c r="J1592" s="3"/>
      <c r="K1592" s="3"/>
      <c r="L1592" s="3"/>
    </row>
    <row r="1593" spans="2:12" x14ac:dyDescent="0.3">
      <c r="B1593" s="1"/>
      <c r="C1593" s="1"/>
      <c r="I1593" s="3"/>
      <c r="J1593" s="3"/>
      <c r="K1593" s="3"/>
      <c r="L1593" s="3"/>
    </row>
    <row r="1594" spans="2:12" x14ac:dyDescent="0.3">
      <c r="B1594" s="1"/>
      <c r="C1594" s="1"/>
      <c r="I1594" s="3"/>
      <c r="J1594" s="3"/>
      <c r="K1594" s="3"/>
      <c r="L1594" s="3"/>
    </row>
    <row r="1595" spans="2:12" x14ac:dyDescent="0.3">
      <c r="B1595" s="1"/>
      <c r="C1595" s="1"/>
      <c r="I1595" s="3"/>
      <c r="J1595" s="3"/>
      <c r="K1595" s="3"/>
      <c r="L1595" s="3"/>
    </row>
    <row r="1596" spans="2:12" x14ac:dyDescent="0.3">
      <c r="B1596" s="1"/>
      <c r="C1596" s="1"/>
      <c r="I1596" s="3"/>
      <c r="J1596" s="3"/>
      <c r="K1596" s="3"/>
      <c r="L1596" s="3"/>
    </row>
    <row r="1597" spans="2:12" x14ac:dyDescent="0.3">
      <c r="B1597" s="1"/>
      <c r="C1597" s="1"/>
      <c r="I1597" s="3"/>
      <c r="J1597" s="3"/>
      <c r="K1597" s="3"/>
      <c r="L1597" s="3"/>
    </row>
    <row r="1598" spans="2:12" x14ac:dyDescent="0.3">
      <c r="B1598" s="1"/>
      <c r="C1598" s="1"/>
      <c r="I1598" s="3"/>
      <c r="J1598" s="3"/>
      <c r="K1598" s="3"/>
      <c r="L1598" s="3"/>
    </row>
    <row r="1599" spans="2:12" x14ac:dyDescent="0.3">
      <c r="B1599" s="1"/>
      <c r="C1599" s="1"/>
      <c r="I1599" s="3"/>
      <c r="J1599" s="3"/>
      <c r="K1599" s="3"/>
      <c r="L1599" s="3"/>
    </row>
    <row r="1600" spans="2:12" x14ac:dyDescent="0.3">
      <c r="B1600" s="1"/>
      <c r="C1600" s="1"/>
      <c r="I1600" s="3"/>
      <c r="J1600" s="3"/>
      <c r="K1600" s="3"/>
      <c r="L1600" s="3"/>
    </row>
    <row r="1601" spans="2:12" x14ac:dyDescent="0.3">
      <c r="B1601" s="1"/>
      <c r="C1601" s="1"/>
      <c r="I1601" s="3"/>
      <c r="J1601" s="3"/>
      <c r="K1601" s="3"/>
      <c r="L1601" s="3"/>
    </row>
    <row r="1602" spans="2:12" x14ac:dyDescent="0.3">
      <c r="B1602" s="1"/>
      <c r="C1602" s="1"/>
      <c r="I1602" s="3"/>
      <c r="J1602" s="3"/>
      <c r="K1602" s="3"/>
      <c r="L1602" s="3"/>
    </row>
    <row r="1603" spans="2:12" x14ac:dyDescent="0.3">
      <c r="B1603" s="1"/>
      <c r="C1603" s="1"/>
      <c r="I1603" s="3"/>
      <c r="J1603" s="3"/>
      <c r="K1603" s="3"/>
      <c r="L1603" s="3"/>
    </row>
    <row r="1604" spans="2:12" x14ac:dyDescent="0.3">
      <c r="B1604" s="1"/>
      <c r="C1604" s="1"/>
      <c r="I1604" s="3"/>
      <c r="J1604" s="3"/>
      <c r="K1604" s="3"/>
      <c r="L1604" s="3"/>
    </row>
    <row r="1605" spans="2:12" x14ac:dyDescent="0.3">
      <c r="B1605" s="1"/>
      <c r="C1605" s="1"/>
      <c r="I1605" s="3"/>
      <c r="J1605" s="3"/>
      <c r="K1605" s="3"/>
      <c r="L1605" s="3"/>
    </row>
    <row r="1606" spans="2:12" x14ac:dyDescent="0.3">
      <c r="B1606" s="1"/>
      <c r="C1606" s="1"/>
      <c r="I1606" s="3"/>
      <c r="J1606" s="3"/>
      <c r="K1606" s="3"/>
      <c r="L1606" s="3"/>
    </row>
    <row r="1607" spans="2:12" x14ac:dyDescent="0.3">
      <c r="B1607" s="1"/>
      <c r="C1607" s="1"/>
      <c r="I1607" s="3"/>
      <c r="J1607" s="3"/>
      <c r="K1607" s="3"/>
      <c r="L1607" s="3"/>
    </row>
    <row r="1608" spans="2:12" x14ac:dyDescent="0.3">
      <c r="B1608" s="1"/>
      <c r="C1608" s="1"/>
      <c r="I1608" s="3"/>
      <c r="J1608" s="3"/>
      <c r="K1608" s="3"/>
      <c r="L1608" s="3"/>
    </row>
    <row r="1609" spans="2:12" x14ac:dyDescent="0.3">
      <c r="B1609" s="1"/>
      <c r="C1609" s="1"/>
      <c r="I1609" s="3"/>
      <c r="J1609" s="3"/>
      <c r="K1609" s="3"/>
      <c r="L1609" s="3"/>
    </row>
    <row r="1610" spans="2:12" x14ac:dyDescent="0.3">
      <c r="B1610" s="1"/>
      <c r="C1610" s="1"/>
      <c r="I1610" s="3"/>
      <c r="J1610" s="3"/>
      <c r="K1610" s="3"/>
      <c r="L1610" s="3"/>
    </row>
    <row r="1611" spans="2:12" x14ac:dyDescent="0.3">
      <c r="B1611" s="1"/>
      <c r="C1611" s="1"/>
      <c r="I1611" s="3"/>
      <c r="J1611" s="3"/>
      <c r="K1611" s="3"/>
      <c r="L1611" s="3"/>
    </row>
    <row r="1612" spans="2:12" x14ac:dyDescent="0.3">
      <c r="B1612" s="1"/>
      <c r="C1612" s="1"/>
      <c r="I1612" s="3"/>
      <c r="J1612" s="3"/>
      <c r="K1612" s="3"/>
      <c r="L1612" s="3"/>
    </row>
    <row r="1613" spans="2:12" x14ac:dyDescent="0.3">
      <c r="B1613" s="1"/>
      <c r="C1613" s="1"/>
      <c r="I1613" s="3"/>
      <c r="J1613" s="3"/>
      <c r="K1613" s="3"/>
      <c r="L1613" s="3"/>
    </row>
    <row r="1614" spans="2:12" x14ac:dyDescent="0.3">
      <c r="B1614" s="1"/>
      <c r="C1614" s="1"/>
      <c r="I1614" s="3"/>
      <c r="J1614" s="3"/>
      <c r="K1614" s="3"/>
      <c r="L1614" s="3"/>
    </row>
    <row r="1615" spans="2:12" x14ac:dyDescent="0.3">
      <c r="B1615" s="1"/>
      <c r="C1615" s="1"/>
      <c r="I1615" s="3"/>
      <c r="J1615" s="3"/>
      <c r="K1615" s="3"/>
      <c r="L1615" s="3"/>
    </row>
    <row r="1616" spans="2:12" x14ac:dyDescent="0.3">
      <c r="B1616" s="1"/>
      <c r="C1616" s="1"/>
      <c r="I1616" s="3"/>
      <c r="J1616" s="3"/>
      <c r="K1616" s="3"/>
      <c r="L1616" s="3"/>
    </row>
    <row r="1617" spans="2:12" x14ac:dyDescent="0.3">
      <c r="B1617" s="1"/>
      <c r="C1617" s="1"/>
      <c r="I1617" s="3"/>
      <c r="J1617" s="3"/>
      <c r="K1617" s="3"/>
      <c r="L1617" s="3"/>
    </row>
    <row r="1618" spans="2:12" x14ac:dyDescent="0.3">
      <c r="B1618" s="1"/>
      <c r="C1618" s="1"/>
      <c r="I1618" s="3"/>
      <c r="J1618" s="3"/>
      <c r="K1618" s="3"/>
      <c r="L1618" s="3"/>
    </row>
    <row r="1619" spans="2:12" x14ac:dyDescent="0.3">
      <c r="B1619" s="1"/>
      <c r="C1619" s="1"/>
      <c r="I1619" s="3"/>
      <c r="J1619" s="3"/>
      <c r="K1619" s="3"/>
      <c r="L1619" s="3"/>
    </row>
    <row r="1620" spans="2:12" x14ac:dyDescent="0.3">
      <c r="B1620" s="1"/>
      <c r="C1620" s="1"/>
      <c r="I1620" s="3"/>
      <c r="J1620" s="3"/>
      <c r="K1620" s="3"/>
      <c r="L1620" s="3"/>
    </row>
    <row r="1621" spans="2:12" x14ac:dyDescent="0.3">
      <c r="B1621" s="1"/>
      <c r="C1621" s="1"/>
      <c r="I1621" s="3"/>
      <c r="J1621" s="3"/>
      <c r="K1621" s="3"/>
      <c r="L1621" s="3"/>
    </row>
    <row r="1622" spans="2:12" x14ac:dyDescent="0.3">
      <c r="B1622" s="1"/>
      <c r="C1622" s="1"/>
      <c r="I1622" s="3"/>
      <c r="J1622" s="3"/>
      <c r="K1622" s="3"/>
      <c r="L1622" s="3"/>
    </row>
    <row r="1623" spans="2:12" x14ac:dyDescent="0.3">
      <c r="B1623" s="1"/>
      <c r="C1623" s="1"/>
      <c r="I1623" s="3"/>
      <c r="J1623" s="3"/>
      <c r="K1623" s="3"/>
      <c r="L1623" s="3"/>
    </row>
    <row r="1624" spans="2:12" x14ac:dyDescent="0.3">
      <c r="B1624" s="1"/>
      <c r="C1624" s="1"/>
      <c r="I1624" s="3"/>
      <c r="J1624" s="3"/>
      <c r="K1624" s="3"/>
      <c r="L1624" s="3"/>
    </row>
    <row r="1625" spans="2:12" x14ac:dyDescent="0.3">
      <c r="B1625" s="1"/>
      <c r="C1625" s="1"/>
      <c r="I1625" s="3"/>
      <c r="J1625" s="3"/>
      <c r="K1625" s="3"/>
      <c r="L1625" s="3"/>
    </row>
    <row r="1626" spans="2:12" x14ac:dyDescent="0.3">
      <c r="B1626" s="1"/>
      <c r="C1626" s="1"/>
      <c r="I1626" s="3"/>
      <c r="J1626" s="3"/>
      <c r="K1626" s="3"/>
      <c r="L1626" s="3"/>
    </row>
    <row r="1627" spans="2:12" x14ac:dyDescent="0.3">
      <c r="B1627" s="1"/>
      <c r="C1627" s="1"/>
      <c r="I1627" s="3"/>
      <c r="J1627" s="3"/>
      <c r="K1627" s="3"/>
      <c r="L1627" s="3"/>
    </row>
    <row r="1628" spans="2:12" x14ac:dyDescent="0.3">
      <c r="B1628" s="1"/>
      <c r="C1628" s="1"/>
      <c r="I1628" s="3"/>
      <c r="J1628" s="3"/>
      <c r="K1628" s="3"/>
      <c r="L1628" s="3"/>
    </row>
    <row r="1629" spans="2:12" x14ac:dyDescent="0.3">
      <c r="B1629" s="1"/>
      <c r="C1629" s="1"/>
      <c r="I1629" s="3"/>
      <c r="J1629" s="3"/>
      <c r="K1629" s="3"/>
      <c r="L1629" s="3"/>
    </row>
    <row r="1630" spans="2:12" x14ac:dyDescent="0.3">
      <c r="B1630" s="1"/>
      <c r="C1630" s="1"/>
      <c r="I1630" s="3"/>
      <c r="J1630" s="3"/>
      <c r="K1630" s="3"/>
      <c r="L1630" s="3"/>
    </row>
    <row r="1631" spans="2:12" x14ac:dyDescent="0.3">
      <c r="B1631" s="1"/>
      <c r="C1631" s="1"/>
      <c r="I1631" s="3"/>
      <c r="J1631" s="3"/>
      <c r="K1631" s="3"/>
      <c r="L1631" s="3"/>
    </row>
    <row r="1632" spans="2:12" x14ac:dyDescent="0.3">
      <c r="B1632" s="1"/>
      <c r="C1632" s="1"/>
      <c r="I1632" s="3"/>
      <c r="J1632" s="3"/>
      <c r="K1632" s="3"/>
      <c r="L1632" s="3"/>
    </row>
    <row r="1633" spans="2:12" x14ac:dyDescent="0.3">
      <c r="B1633" s="1"/>
      <c r="C1633" s="1"/>
      <c r="I1633" s="3"/>
      <c r="J1633" s="3"/>
      <c r="K1633" s="3"/>
      <c r="L1633" s="3"/>
    </row>
    <row r="1634" spans="2:12" x14ac:dyDescent="0.3">
      <c r="B1634" s="1"/>
      <c r="C1634" s="1"/>
      <c r="I1634" s="3"/>
      <c r="J1634" s="3"/>
      <c r="K1634" s="3"/>
      <c r="L1634" s="3"/>
    </row>
    <row r="1635" spans="2:12" x14ac:dyDescent="0.3">
      <c r="B1635" s="1"/>
      <c r="C1635" s="1"/>
      <c r="I1635" s="3"/>
      <c r="J1635" s="3"/>
      <c r="K1635" s="3"/>
      <c r="L1635" s="3"/>
    </row>
    <row r="1636" spans="2:12" x14ac:dyDescent="0.3">
      <c r="B1636" s="1"/>
      <c r="C1636" s="1"/>
      <c r="I1636" s="3"/>
      <c r="J1636" s="3"/>
      <c r="K1636" s="3"/>
      <c r="L1636" s="3"/>
    </row>
    <row r="1637" spans="2:12" x14ac:dyDescent="0.3">
      <c r="B1637" s="1"/>
      <c r="C1637" s="1"/>
      <c r="I1637" s="3"/>
      <c r="J1637" s="3"/>
      <c r="K1637" s="3"/>
      <c r="L1637" s="3"/>
    </row>
    <row r="1638" spans="2:12" x14ac:dyDescent="0.3">
      <c r="B1638" s="1"/>
      <c r="C1638" s="1"/>
      <c r="I1638" s="3"/>
      <c r="J1638" s="3"/>
      <c r="K1638" s="3"/>
      <c r="L1638" s="3"/>
    </row>
    <row r="1639" spans="2:12" x14ac:dyDescent="0.3">
      <c r="B1639" s="1"/>
      <c r="C1639" s="1"/>
      <c r="I1639" s="3"/>
      <c r="J1639" s="3"/>
      <c r="K1639" s="3"/>
      <c r="L1639" s="3"/>
    </row>
    <row r="1640" spans="2:12" x14ac:dyDescent="0.3">
      <c r="B1640" s="1"/>
      <c r="C1640" s="1"/>
      <c r="I1640" s="3"/>
      <c r="J1640" s="3"/>
      <c r="K1640" s="3"/>
      <c r="L1640" s="3"/>
    </row>
    <row r="1641" spans="2:12" x14ac:dyDescent="0.3">
      <c r="B1641" s="1"/>
      <c r="C1641" s="1"/>
      <c r="I1641" s="3"/>
      <c r="J1641" s="3"/>
      <c r="K1641" s="3"/>
      <c r="L1641" s="3"/>
    </row>
    <row r="1642" spans="2:12" x14ac:dyDescent="0.3">
      <c r="B1642" s="1"/>
      <c r="C1642" s="1"/>
      <c r="I1642" s="3"/>
      <c r="J1642" s="3"/>
      <c r="K1642" s="3"/>
      <c r="L1642" s="3"/>
    </row>
    <row r="1643" spans="2:12" x14ac:dyDescent="0.3">
      <c r="B1643" s="1"/>
      <c r="C1643" s="1"/>
      <c r="I1643" s="3"/>
      <c r="J1643" s="3"/>
      <c r="K1643" s="3"/>
      <c r="L1643" s="3"/>
    </row>
    <row r="1644" spans="2:12" x14ac:dyDescent="0.3">
      <c r="B1644" s="1"/>
      <c r="C1644" s="1"/>
      <c r="I1644" s="3"/>
      <c r="J1644" s="3"/>
      <c r="K1644" s="3"/>
      <c r="L1644" s="3"/>
    </row>
    <row r="1645" spans="2:12" x14ac:dyDescent="0.3">
      <c r="B1645" s="1"/>
      <c r="C1645" s="1"/>
      <c r="I1645" s="3"/>
      <c r="J1645" s="3"/>
      <c r="K1645" s="3"/>
      <c r="L1645" s="3"/>
    </row>
    <row r="1646" spans="2:12" x14ac:dyDescent="0.3">
      <c r="B1646" s="1"/>
      <c r="C1646" s="1"/>
      <c r="I1646" s="3"/>
      <c r="J1646" s="3"/>
      <c r="K1646" s="3"/>
      <c r="L1646" s="3"/>
    </row>
    <row r="1647" spans="2:12" x14ac:dyDescent="0.3">
      <c r="B1647" s="1"/>
      <c r="C1647" s="1"/>
      <c r="I1647" s="3"/>
      <c r="J1647" s="3"/>
      <c r="K1647" s="3"/>
      <c r="L1647" s="3"/>
    </row>
    <row r="1648" spans="2:12" x14ac:dyDescent="0.3">
      <c r="B1648" s="1"/>
      <c r="C1648" s="1"/>
      <c r="I1648" s="3"/>
      <c r="J1648" s="3"/>
      <c r="K1648" s="3"/>
      <c r="L1648" s="3"/>
    </row>
    <row r="1649" spans="2:12" x14ac:dyDescent="0.3">
      <c r="B1649" s="1"/>
      <c r="C1649" s="1"/>
      <c r="I1649" s="3"/>
      <c r="J1649" s="3"/>
      <c r="K1649" s="3"/>
      <c r="L1649" s="3"/>
    </row>
    <row r="1650" spans="2:12" x14ac:dyDescent="0.3">
      <c r="B1650" s="1"/>
      <c r="C1650" s="1"/>
      <c r="I1650" s="3"/>
      <c r="J1650" s="3"/>
      <c r="K1650" s="3"/>
      <c r="L1650" s="3"/>
    </row>
    <row r="1651" spans="2:12" x14ac:dyDescent="0.3">
      <c r="B1651" s="1"/>
      <c r="C1651" s="1"/>
      <c r="I1651" s="3"/>
      <c r="J1651" s="3"/>
      <c r="K1651" s="3"/>
      <c r="L1651" s="3"/>
    </row>
    <row r="1652" spans="2:12" x14ac:dyDescent="0.3">
      <c r="B1652" s="1"/>
      <c r="C1652" s="1"/>
      <c r="I1652" s="3"/>
      <c r="J1652" s="3"/>
      <c r="K1652" s="3"/>
      <c r="L1652" s="3"/>
    </row>
    <row r="1653" spans="2:12" x14ac:dyDescent="0.3">
      <c r="B1653" s="1"/>
      <c r="C1653" s="1"/>
      <c r="I1653" s="3"/>
      <c r="J1653" s="3"/>
      <c r="K1653" s="3"/>
      <c r="L1653" s="3"/>
    </row>
    <row r="1654" spans="2:12" x14ac:dyDescent="0.3">
      <c r="B1654" s="1"/>
      <c r="C1654" s="1"/>
      <c r="I1654" s="3"/>
      <c r="J1654" s="3"/>
      <c r="K1654" s="3"/>
      <c r="L1654" s="3"/>
    </row>
    <row r="1655" spans="2:12" x14ac:dyDescent="0.3">
      <c r="B1655" s="1"/>
      <c r="C1655" s="1"/>
      <c r="I1655" s="3"/>
      <c r="J1655" s="3"/>
      <c r="K1655" s="3"/>
      <c r="L1655" s="3"/>
    </row>
    <row r="1656" spans="2:12" x14ac:dyDescent="0.3">
      <c r="B1656" s="1"/>
      <c r="C1656" s="1"/>
      <c r="I1656" s="3"/>
      <c r="J1656" s="3"/>
      <c r="K1656" s="3"/>
      <c r="L1656" s="3"/>
    </row>
    <row r="1657" spans="2:12" x14ac:dyDescent="0.3">
      <c r="B1657" s="1"/>
      <c r="C1657" s="1"/>
      <c r="I1657" s="3"/>
      <c r="J1657" s="3"/>
      <c r="K1657" s="3"/>
      <c r="L1657" s="3"/>
    </row>
    <row r="1658" spans="2:12" x14ac:dyDescent="0.3">
      <c r="B1658" s="1"/>
      <c r="C1658" s="1"/>
      <c r="I1658" s="3"/>
      <c r="J1658" s="3"/>
      <c r="K1658" s="3"/>
      <c r="L1658" s="3"/>
    </row>
    <row r="1659" spans="2:12" x14ac:dyDescent="0.3">
      <c r="B1659" s="1"/>
      <c r="C1659" s="1"/>
      <c r="I1659" s="3"/>
      <c r="J1659" s="3"/>
      <c r="K1659" s="3"/>
      <c r="L1659" s="3"/>
    </row>
    <row r="1660" spans="2:12" x14ac:dyDescent="0.3">
      <c r="B1660" s="1"/>
      <c r="C1660" s="1"/>
      <c r="I1660" s="3"/>
      <c r="J1660" s="3"/>
      <c r="K1660" s="3"/>
      <c r="L1660" s="3"/>
    </row>
    <row r="1661" spans="2:12" x14ac:dyDescent="0.3">
      <c r="B1661" s="1"/>
      <c r="C1661" s="1"/>
      <c r="I1661" s="3"/>
      <c r="J1661" s="3"/>
      <c r="K1661" s="3"/>
      <c r="L1661" s="3"/>
    </row>
    <row r="1662" spans="2:12" x14ac:dyDescent="0.3">
      <c r="B1662" s="1"/>
      <c r="C1662" s="1"/>
      <c r="I1662" s="3"/>
      <c r="J1662" s="3"/>
      <c r="K1662" s="3"/>
      <c r="L1662" s="3"/>
    </row>
    <row r="1663" spans="2:12" x14ac:dyDescent="0.3">
      <c r="B1663" s="1"/>
      <c r="C1663" s="1"/>
      <c r="I1663" s="3"/>
      <c r="J1663" s="3"/>
      <c r="K1663" s="3"/>
      <c r="L1663" s="3"/>
    </row>
    <row r="1664" spans="2:12" x14ac:dyDescent="0.3">
      <c r="B1664" s="1"/>
      <c r="C1664" s="1"/>
      <c r="I1664" s="3"/>
      <c r="J1664" s="3"/>
      <c r="K1664" s="3"/>
      <c r="L1664" s="3"/>
    </row>
    <row r="1665" spans="2:12" x14ac:dyDescent="0.3">
      <c r="B1665" s="1"/>
      <c r="C1665" s="1"/>
      <c r="I1665" s="3"/>
      <c r="J1665" s="3"/>
      <c r="K1665" s="3"/>
      <c r="L1665" s="3"/>
    </row>
    <row r="1666" spans="2:12" x14ac:dyDescent="0.3">
      <c r="B1666" s="1"/>
      <c r="C1666" s="1"/>
      <c r="I1666" s="3"/>
      <c r="J1666" s="3"/>
      <c r="K1666" s="3"/>
      <c r="L1666" s="3"/>
    </row>
    <row r="1667" spans="2:12" x14ac:dyDescent="0.3">
      <c r="B1667" s="1"/>
      <c r="C1667" s="1"/>
      <c r="I1667" s="3"/>
      <c r="J1667" s="3"/>
      <c r="K1667" s="3"/>
      <c r="L1667" s="3"/>
    </row>
    <row r="1668" spans="2:12" x14ac:dyDescent="0.3">
      <c r="B1668" s="1"/>
      <c r="C1668" s="1"/>
      <c r="I1668" s="3"/>
      <c r="J1668" s="3"/>
      <c r="K1668" s="3"/>
      <c r="L1668" s="3"/>
    </row>
    <row r="1669" spans="2:12" x14ac:dyDescent="0.3">
      <c r="B1669" s="1"/>
      <c r="C1669" s="1"/>
      <c r="I1669" s="3"/>
      <c r="J1669" s="3"/>
      <c r="K1669" s="3"/>
      <c r="L1669" s="3"/>
    </row>
    <row r="1670" spans="2:12" x14ac:dyDescent="0.3">
      <c r="B1670" s="1"/>
      <c r="C1670" s="1"/>
      <c r="I1670" s="3"/>
      <c r="J1670" s="3"/>
      <c r="K1670" s="3"/>
      <c r="L1670" s="3"/>
    </row>
    <row r="1671" spans="2:12" x14ac:dyDescent="0.3">
      <c r="B1671" s="1"/>
      <c r="C1671" s="1"/>
      <c r="I1671" s="3"/>
      <c r="J1671" s="3"/>
      <c r="K1671" s="3"/>
      <c r="L1671" s="3"/>
    </row>
    <row r="1672" spans="2:12" x14ac:dyDescent="0.3">
      <c r="B1672" s="1"/>
      <c r="C1672" s="1"/>
      <c r="I1672" s="3"/>
      <c r="J1672" s="3"/>
      <c r="K1672" s="3"/>
      <c r="L1672" s="3"/>
    </row>
    <row r="1673" spans="2:12" x14ac:dyDescent="0.3">
      <c r="B1673" s="1"/>
      <c r="C1673" s="1"/>
      <c r="I1673" s="3"/>
      <c r="J1673" s="3"/>
      <c r="K1673" s="3"/>
      <c r="L1673" s="3"/>
    </row>
    <row r="1674" spans="2:12" x14ac:dyDescent="0.3">
      <c r="B1674" s="1"/>
      <c r="C1674" s="1"/>
      <c r="I1674" s="3"/>
      <c r="J1674" s="3"/>
      <c r="K1674" s="3"/>
      <c r="L1674" s="3"/>
    </row>
    <row r="1675" spans="2:12" x14ac:dyDescent="0.3">
      <c r="B1675" s="1"/>
      <c r="C1675" s="1"/>
      <c r="I1675" s="3"/>
      <c r="J1675" s="3"/>
      <c r="K1675" s="3"/>
      <c r="L1675" s="3"/>
    </row>
    <row r="1676" spans="2:12" x14ac:dyDescent="0.3">
      <c r="B1676" s="1"/>
      <c r="C1676" s="1"/>
      <c r="I1676" s="3"/>
      <c r="J1676" s="3"/>
      <c r="K1676" s="3"/>
      <c r="L1676" s="3"/>
    </row>
    <row r="1677" spans="2:12" x14ac:dyDescent="0.3">
      <c r="B1677" s="1"/>
      <c r="C1677" s="1"/>
      <c r="I1677" s="3"/>
      <c r="J1677" s="3"/>
      <c r="K1677" s="3"/>
      <c r="L1677" s="3"/>
    </row>
    <row r="1678" spans="2:12" x14ac:dyDescent="0.3">
      <c r="B1678" s="1"/>
      <c r="C1678" s="1"/>
      <c r="I1678" s="3"/>
      <c r="J1678" s="3"/>
      <c r="K1678" s="3"/>
      <c r="L1678" s="3"/>
    </row>
    <row r="1679" spans="2:12" x14ac:dyDescent="0.3">
      <c r="B1679" s="1"/>
      <c r="C1679" s="1"/>
      <c r="I1679" s="3"/>
      <c r="J1679" s="3"/>
      <c r="K1679" s="3"/>
      <c r="L1679" s="3"/>
    </row>
    <row r="1680" spans="2:12" x14ac:dyDescent="0.3">
      <c r="B1680" s="1"/>
      <c r="C1680" s="1"/>
      <c r="I1680" s="3"/>
      <c r="J1680" s="3"/>
      <c r="K1680" s="3"/>
      <c r="L1680" s="3"/>
    </row>
    <row r="1681" spans="2:12" x14ac:dyDescent="0.3">
      <c r="B1681" s="1"/>
      <c r="C1681" s="1"/>
      <c r="I1681" s="3"/>
      <c r="J1681" s="3"/>
      <c r="K1681" s="3"/>
      <c r="L1681" s="3"/>
    </row>
    <row r="1682" spans="2:12" x14ac:dyDescent="0.3">
      <c r="B1682" s="1"/>
      <c r="C1682" s="1"/>
      <c r="I1682" s="3"/>
      <c r="J1682" s="3"/>
      <c r="K1682" s="3"/>
      <c r="L1682" s="3"/>
    </row>
    <row r="1683" spans="2:12" x14ac:dyDescent="0.3">
      <c r="B1683" s="1"/>
      <c r="C1683" s="1"/>
      <c r="I1683" s="3"/>
      <c r="J1683" s="3"/>
      <c r="K1683" s="3"/>
      <c r="L1683" s="3"/>
    </row>
    <row r="1684" spans="2:12" x14ac:dyDescent="0.3">
      <c r="B1684" s="1"/>
      <c r="C1684" s="1"/>
      <c r="I1684" s="3"/>
      <c r="J1684" s="3"/>
      <c r="K1684" s="3"/>
      <c r="L1684" s="3"/>
    </row>
    <row r="1685" spans="2:12" x14ac:dyDescent="0.3">
      <c r="B1685" s="1"/>
      <c r="C1685" s="1"/>
      <c r="I1685" s="3"/>
      <c r="J1685" s="3"/>
      <c r="K1685" s="3"/>
      <c r="L1685" s="3"/>
    </row>
    <row r="1686" spans="2:12" x14ac:dyDescent="0.3">
      <c r="B1686" s="1"/>
      <c r="C1686" s="1"/>
      <c r="I1686" s="3"/>
      <c r="J1686" s="3"/>
      <c r="K1686" s="3"/>
      <c r="L1686" s="3"/>
    </row>
    <row r="1687" spans="2:12" x14ac:dyDescent="0.3">
      <c r="B1687" s="1"/>
      <c r="C1687" s="1"/>
      <c r="I1687" s="3"/>
      <c r="J1687" s="3"/>
      <c r="K1687" s="3"/>
      <c r="L1687" s="3"/>
    </row>
    <row r="1688" spans="2:12" x14ac:dyDescent="0.3">
      <c r="B1688" s="1"/>
      <c r="C1688" s="1"/>
      <c r="I1688" s="3"/>
      <c r="J1688" s="3"/>
      <c r="K1688" s="3"/>
      <c r="L1688" s="3"/>
    </row>
    <row r="1689" spans="2:12" x14ac:dyDescent="0.3">
      <c r="B1689" s="1"/>
      <c r="C1689" s="1"/>
      <c r="I1689" s="3"/>
      <c r="J1689" s="3"/>
      <c r="K1689" s="3"/>
      <c r="L1689" s="3"/>
    </row>
    <row r="1690" spans="2:12" x14ac:dyDescent="0.3">
      <c r="B1690" s="1"/>
      <c r="C1690" s="1"/>
      <c r="I1690" s="3"/>
      <c r="J1690" s="3"/>
      <c r="K1690" s="3"/>
      <c r="L1690" s="3"/>
    </row>
    <row r="1691" spans="2:12" x14ac:dyDescent="0.3">
      <c r="B1691" s="1"/>
      <c r="C1691" s="1"/>
      <c r="I1691" s="3"/>
      <c r="J1691" s="3"/>
      <c r="K1691" s="3"/>
      <c r="L1691" s="3"/>
    </row>
    <row r="1692" spans="2:12" x14ac:dyDescent="0.3">
      <c r="B1692" s="1"/>
      <c r="C1692" s="1"/>
      <c r="I1692" s="3"/>
      <c r="J1692" s="3"/>
      <c r="K1692" s="3"/>
      <c r="L1692" s="3"/>
    </row>
    <row r="1693" spans="2:12" x14ac:dyDescent="0.3">
      <c r="B1693" s="1"/>
      <c r="C1693" s="1"/>
      <c r="I1693" s="3"/>
      <c r="J1693" s="3"/>
      <c r="K1693" s="3"/>
      <c r="L1693" s="3"/>
    </row>
    <row r="1694" spans="2:12" x14ac:dyDescent="0.3">
      <c r="B1694" s="1"/>
      <c r="C1694" s="1"/>
      <c r="I1694" s="3"/>
      <c r="J1694" s="3"/>
      <c r="K1694" s="3"/>
      <c r="L1694" s="3"/>
    </row>
    <row r="1695" spans="2:12" x14ac:dyDescent="0.3">
      <c r="B1695" s="1"/>
      <c r="C1695" s="1"/>
      <c r="I1695" s="3"/>
      <c r="J1695" s="3"/>
      <c r="K1695" s="3"/>
      <c r="L1695" s="3"/>
    </row>
    <row r="1696" spans="2:12" x14ac:dyDescent="0.3">
      <c r="B1696" s="1"/>
      <c r="C1696" s="1"/>
      <c r="I1696" s="3"/>
      <c r="J1696" s="3"/>
      <c r="K1696" s="3"/>
      <c r="L1696" s="3"/>
    </row>
    <row r="1697" spans="2:12" x14ac:dyDescent="0.3">
      <c r="B1697" s="1"/>
      <c r="C1697" s="1"/>
      <c r="I1697" s="3"/>
      <c r="J1697" s="3"/>
      <c r="K1697" s="3"/>
      <c r="L1697" s="3"/>
    </row>
    <row r="1698" spans="2:12" x14ac:dyDescent="0.3">
      <c r="B1698" s="1"/>
      <c r="C1698" s="1"/>
      <c r="I1698" s="3"/>
      <c r="J1698" s="3"/>
      <c r="K1698" s="3"/>
      <c r="L1698" s="3"/>
    </row>
    <row r="1699" spans="2:12" x14ac:dyDescent="0.3">
      <c r="B1699" s="1"/>
      <c r="C1699" s="1"/>
      <c r="I1699" s="3"/>
      <c r="J1699" s="3"/>
      <c r="K1699" s="3"/>
      <c r="L1699" s="3"/>
    </row>
    <row r="1700" spans="2:12" x14ac:dyDescent="0.3">
      <c r="B1700" s="1"/>
      <c r="C1700" s="1"/>
      <c r="I1700" s="3"/>
      <c r="J1700" s="3"/>
      <c r="K1700" s="3"/>
      <c r="L1700" s="3"/>
    </row>
    <row r="1701" spans="2:12" x14ac:dyDescent="0.3">
      <c r="B1701" s="1"/>
      <c r="C1701" s="1"/>
      <c r="I1701" s="3"/>
      <c r="J1701" s="3"/>
      <c r="K1701" s="3"/>
      <c r="L1701" s="3"/>
    </row>
    <row r="1702" spans="2:12" x14ac:dyDescent="0.3">
      <c r="B1702" s="1"/>
      <c r="C1702" s="1"/>
      <c r="I1702" s="3"/>
      <c r="J1702" s="3"/>
      <c r="K1702" s="3"/>
      <c r="L1702" s="3"/>
    </row>
    <row r="1703" spans="2:12" x14ac:dyDescent="0.3">
      <c r="B1703" s="1"/>
      <c r="C1703" s="1"/>
      <c r="I1703" s="3"/>
      <c r="J1703" s="3"/>
      <c r="K1703" s="3"/>
      <c r="L1703" s="3"/>
    </row>
    <row r="1704" spans="2:12" x14ac:dyDescent="0.3">
      <c r="B1704" s="1"/>
      <c r="C1704" s="1"/>
      <c r="I1704" s="3"/>
      <c r="J1704" s="3"/>
      <c r="K1704" s="3"/>
      <c r="L1704" s="3"/>
    </row>
    <row r="1705" spans="2:12" x14ac:dyDescent="0.3">
      <c r="B1705" s="1"/>
      <c r="C1705" s="1"/>
      <c r="I1705" s="3"/>
      <c r="J1705" s="3"/>
      <c r="K1705" s="3"/>
      <c r="L1705" s="3"/>
    </row>
    <row r="1706" spans="2:12" x14ac:dyDescent="0.3">
      <c r="B1706" s="1"/>
      <c r="C1706" s="1"/>
      <c r="I1706" s="3"/>
      <c r="J1706" s="3"/>
      <c r="K1706" s="3"/>
      <c r="L1706" s="3"/>
    </row>
    <row r="1707" spans="2:12" x14ac:dyDescent="0.3">
      <c r="B1707" s="1"/>
      <c r="C1707" s="1"/>
      <c r="I1707" s="3"/>
      <c r="J1707" s="3"/>
      <c r="K1707" s="3"/>
      <c r="L1707" s="3"/>
    </row>
    <row r="1708" spans="2:12" x14ac:dyDescent="0.3">
      <c r="B1708" s="1"/>
      <c r="C1708" s="1"/>
      <c r="I1708" s="3"/>
      <c r="J1708" s="3"/>
      <c r="K1708" s="3"/>
      <c r="L1708" s="3"/>
    </row>
    <row r="1709" spans="2:12" x14ac:dyDescent="0.3">
      <c r="B1709" s="1"/>
      <c r="C1709" s="1"/>
      <c r="I1709" s="3"/>
      <c r="J1709" s="3"/>
      <c r="K1709" s="3"/>
      <c r="L1709" s="3"/>
    </row>
    <row r="1710" spans="2:12" x14ac:dyDescent="0.3">
      <c r="B1710" s="1"/>
      <c r="C1710" s="1"/>
      <c r="I1710" s="3"/>
      <c r="J1710" s="3"/>
      <c r="K1710" s="3"/>
      <c r="L1710" s="3"/>
    </row>
    <row r="1711" spans="2:12" x14ac:dyDescent="0.3">
      <c r="B1711" s="1"/>
      <c r="C1711" s="1"/>
      <c r="I1711" s="3"/>
      <c r="J1711" s="3"/>
      <c r="K1711" s="3"/>
      <c r="L1711" s="3"/>
    </row>
    <row r="1712" spans="2:12" x14ac:dyDescent="0.3">
      <c r="B1712" s="1"/>
      <c r="C1712" s="1"/>
      <c r="I1712" s="3"/>
      <c r="J1712" s="3"/>
      <c r="K1712" s="3"/>
      <c r="L1712" s="3"/>
    </row>
    <row r="1713" spans="2:12" x14ac:dyDescent="0.3">
      <c r="B1713" s="1"/>
      <c r="C1713" s="1"/>
      <c r="I1713" s="3"/>
      <c r="J1713" s="3"/>
      <c r="K1713" s="3"/>
      <c r="L1713" s="3"/>
    </row>
    <row r="1714" spans="2:12" x14ac:dyDescent="0.3">
      <c r="B1714" s="1"/>
      <c r="C1714" s="1"/>
      <c r="I1714" s="3"/>
      <c r="J1714" s="3"/>
      <c r="K1714" s="3"/>
      <c r="L1714" s="3"/>
    </row>
    <row r="1715" spans="2:12" x14ac:dyDescent="0.3">
      <c r="B1715" s="1"/>
      <c r="C1715" s="1"/>
      <c r="I1715" s="3"/>
      <c r="J1715" s="3"/>
      <c r="K1715" s="3"/>
      <c r="L1715" s="3"/>
    </row>
    <row r="1716" spans="2:12" x14ac:dyDescent="0.3">
      <c r="B1716" s="1"/>
      <c r="C1716" s="1"/>
      <c r="I1716" s="3"/>
      <c r="J1716" s="3"/>
      <c r="K1716" s="3"/>
      <c r="L1716" s="3"/>
    </row>
    <row r="1717" spans="2:12" x14ac:dyDescent="0.3">
      <c r="B1717" s="1"/>
      <c r="C1717" s="1"/>
      <c r="I1717" s="3"/>
      <c r="J1717" s="3"/>
      <c r="K1717" s="3"/>
      <c r="L1717" s="3"/>
    </row>
    <row r="1718" spans="2:12" x14ac:dyDescent="0.3">
      <c r="B1718" s="1"/>
      <c r="C1718" s="1"/>
      <c r="I1718" s="3"/>
      <c r="J1718" s="3"/>
      <c r="K1718" s="3"/>
      <c r="L1718" s="3"/>
    </row>
    <row r="1719" spans="2:12" x14ac:dyDescent="0.3">
      <c r="B1719" s="1"/>
      <c r="C1719" s="1"/>
      <c r="I1719" s="3"/>
      <c r="J1719" s="3"/>
      <c r="K1719" s="3"/>
      <c r="L1719" s="3"/>
    </row>
    <row r="1720" spans="2:12" x14ac:dyDescent="0.3">
      <c r="B1720" s="1"/>
      <c r="C1720" s="1"/>
      <c r="I1720" s="3"/>
      <c r="J1720" s="3"/>
      <c r="K1720" s="3"/>
      <c r="L1720" s="3"/>
    </row>
    <row r="1721" spans="2:12" x14ac:dyDescent="0.3">
      <c r="B1721" s="1"/>
      <c r="C1721" s="1"/>
      <c r="I1721" s="3"/>
      <c r="J1721" s="3"/>
      <c r="K1721" s="3"/>
      <c r="L1721" s="3"/>
    </row>
    <row r="1722" spans="2:12" x14ac:dyDescent="0.3">
      <c r="B1722" s="1"/>
      <c r="C1722" s="1"/>
      <c r="I1722" s="3"/>
      <c r="J1722" s="3"/>
      <c r="K1722" s="3"/>
      <c r="L1722" s="3"/>
    </row>
    <row r="1723" spans="2:12" x14ac:dyDescent="0.3">
      <c r="B1723" s="1"/>
      <c r="C1723" s="1"/>
      <c r="I1723" s="3"/>
      <c r="J1723" s="3"/>
      <c r="K1723" s="3"/>
      <c r="L1723" s="3"/>
    </row>
    <row r="1724" spans="2:12" x14ac:dyDescent="0.3">
      <c r="B1724" s="1"/>
      <c r="C1724" s="1"/>
      <c r="I1724" s="3"/>
      <c r="J1724" s="3"/>
      <c r="K1724" s="3"/>
      <c r="L1724" s="3"/>
    </row>
    <row r="1725" spans="2:12" x14ac:dyDescent="0.3">
      <c r="B1725" s="1"/>
      <c r="C1725" s="1"/>
      <c r="I1725" s="3"/>
      <c r="J1725" s="3"/>
      <c r="K1725" s="3"/>
      <c r="L1725" s="3"/>
    </row>
    <row r="1726" spans="2:12" x14ac:dyDescent="0.3">
      <c r="B1726" s="1"/>
      <c r="C1726" s="1"/>
      <c r="I1726" s="3"/>
      <c r="J1726" s="3"/>
      <c r="K1726" s="3"/>
      <c r="L1726" s="3"/>
    </row>
    <row r="1727" spans="2:12" x14ac:dyDescent="0.3">
      <c r="B1727" s="1"/>
      <c r="C1727" s="1"/>
      <c r="I1727" s="3"/>
      <c r="J1727" s="3"/>
      <c r="K1727" s="3"/>
      <c r="L1727" s="3"/>
    </row>
    <row r="1728" spans="2:12" x14ac:dyDescent="0.3">
      <c r="B1728" s="1"/>
      <c r="C1728" s="1"/>
      <c r="I1728" s="3"/>
      <c r="J1728" s="3"/>
      <c r="K1728" s="3"/>
      <c r="L1728" s="3"/>
    </row>
    <row r="1729" spans="2:12" x14ac:dyDescent="0.3">
      <c r="B1729" s="1"/>
      <c r="C1729" s="1"/>
      <c r="I1729" s="3"/>
      <c r="J1729" s="3"/>
      <c r="K1729" s="3"/>
      <c r="L1729" s="3"/>
    </row>
    <row r="1730" spans="2:12" x14ac:dyDescent="0.3">
      <c r="B1730" s="1"/>
      <c r="C1730" s="1"/>
      <c r="I1730" s="3"/>
      <c r="J1730" s="3"/>
      <c r="K1730" s="3"/>
      <c r="L1730" s="3"/>
    </row>
    <row r="1731" spans="2:12" x14ac:dyDescent="0.3">
      <c r="B1731" s="1"/>
      <c r="C1731" s="1"/>
      <c r="I1731" s="3"/>
      <c r="J1731" s="3"/>
      <c r="K1731" s="3"/>
      <c r="L1731" s="3"/>
    </row>
    <row r="1732" spans="2:12" x14ac:dyDescent="0.3">
      <c r="B1732" s="1"/>
      <c r="C1732" s="1"/>
      <c r="I1732" s="3"/>
      <c r="J1732" s="3"/>
      <c r="K1732" s="3"/>
      <c r="L1732" s="3"/>
    </row>
    <row r="1733" spans="2:12" x14ac:dyDescent="0.3">
      <c r="B1733" s="1"/>
      <c r="C1733" s="1"/>
      <c r="I1733" s="3"/>
      <c r="J1733" s="3"/>
      <c r="K1733" s="3"/>
      <c r="L1733" s="3"/>
    </row>
    <row r="1734" spans="2:12" x14ac:dyDescent="0.3">
      <c r="B1734" s="1"/>
      <c r="C1734" s="1"/>
      <c r="I1734" s="3"/>
      <c r="J1734" s="3"/>
      <c r="K1734" s="3"/>
      <c r="L1734" s="3"/>
    </row>
    <row r="1735" spans="2:12" x14ac:dyDescent="0.3">
      <c r="B1735" s="1"/>
      <c r="C1735" s="1"/>
      <c r="I1735" s="3"/>
      <c r="J1735" s="3"/>
      <c r="K1735" s="3"/>
      <c r="L1735" s="3"/>
    </row>
    <row r="1736" spans="2:12" x14ac:dyDescent="0.3">
      <c r="B1736" s="1"/>
      <c r="C1736" s="1"/>
      <c r="I1736" s="3"/>
      <c r="J1736" s="3"/>
      <c r="K1736" s="3"/>
      <c r="L1736" s="3"/>
    </row>
    <row r="1737" spans="2:12" x14ac:dyDescent="0.3">
      <c r="B1737" s="1"/>
      <c r="C1737" s="1"/>
      <c r="I1737" s="3"/>
      <c r="J1737" s="3"/>
      <c r="K1737" s="3"/>
      <c r="L1737" s="3"/>
    </row>
    <row r="1738" spans="2:12" x14ac:dyDescent="0.3">
      <c r="B1738" s="1"/>
      <c r="C1738" s="1"/>
      <c r="I1738" s="3"/>
      <c r="J1738" s="3"/>
      <c r="K1738" s="3"/>
      <c r="L1738" s="3"/>
    </row>
    <row r="1739" spans="2:12" x14ac:dyDescent="0.3">
      <c r="B1739" s="1"/>
      <c r="C1739" s="1"/>
      <c r="I1739" s="3"/>
      <c r="J1739" s="3"/>
      <c r="K1739" s="3"/>
      <c r="L1739" s="3"/>
    </row>
    <row r="1740" spans="2:12" x14ac:dyDescent="0.3">
      <c r="B1740" s="1"/>
      <c r="C1740" s="1"/>
      <c r="I1740" s="3"/>
      <c r="J1740" s="3"/>
      <c r="K1740" s="3"/>
      <c r="L1740" s="3"/>
    </row>
    <row r="1741" spans="2:12" x14ac:dyDescent="0.3">
      <c r="B1741" s="1"/>
      <c r="C1741" s="1"/>
      <c r="I1741" s="3"/>
      <c r="J1741" s="3"/>
      <c r="K1741" s="3"/>
      <c r="L1741" s="3"/>
    </row>
    <row r="1742" spans="2:12" x14ac:dyDescent="0.3">
      <c r="B1742" s="1"/>
      <c r="C1742" s="1"/>
      <c r="I1742" s="3"/>
      <c r="J1742" s="3"/>
      <c r="K1742" s="3"/>
      <c r="L1742" s="3"/>
    </row>
    <row r="1743" spans="2:12" x14ac:dyDescent="0.3">
      <c r="B1743" s="1"/>
      <c r="C1743" s="1"/>
      <c r="I1743" s="3"/>
      <c r="J1743" s="3"/>
      <c r="K1743" s="3"/>
      <c r="L1743" s="3"/>
    </row>
    <row r="1744" spans="2:12" x14ac:dyDescent="0.3">
      <c r="B1744" s="1"/>
      <c r="C1744" s="1"/>
      <c r="I1744" s="3"/>
      <c r="J1744" s="3"/>
      <c r="K1744" s="3"/>
      <c r="L1744" s="3"/>
    </row>
    <row r="1745" spans="2:12" x14ac:dyDescent="0.3">
      <c r="B1745" s="1"/>
      <c r="C1745" s="1"/>
      <c r="I1745" s="3"/>
      <c r="J1745" s="3"/>
      <c r="K1745" s="3"/>
      <c r="L1745" s="3"/>
    </row>
    <row r="1746" spans="2:12" x14ac:dyDescent="0.3">
      <c r="B1746" s="1"/>
      <c r="C1746" s="1"/>
      <c r="I1746" s="3"/>
      <c r="J1746" s="3"/>
      <c r="K1746" s="3"/>
      <c r="L1746" s="3"/>
    </row>
    <row r="1747" spans="2:12" x14ac:dyDescent="0.3">
      <c r="B1747" s="1"/>
      <c r="C1747" s="1"/>
      <c r="I1747" s="3"/>
      <c r="J1747" s="3"/>
      <c r="K1747" s="3"/>
      <c r="L1747" s="3"/>
    </row>
    <row r="1748" spans="2:12" x14ac:dyDescent="0.3">
      <c r="B1748" s="1"/>
      <c r="C1748" s="1"/>
      <c r="I1748" s="3"/>
      <c r="J1748" s="3"/>
      <c r="K1748" s="3"/>
      <c r="L1748" s="3"/>
    </row>
    <row r="1749" spans="2:12" x14ac:dyDescent="0.3">
      <c r="B1749" s="1"/>
      <c r="C1749" s="1"/>
      <c r="I1749" s="3"/>
      <c r="J1749" s="3"/>
      <c r="K1749" s="3"/>
      <c r="L1749" s="3"/>
    </row>
    <row r="1750" spans="2:12" x14ac:dyDescent="0.3">
      <c r="B1750" s="1"/>
      <c r="C1750" s="1"/>
      <c r="I1750" s="3"/>
      <c r="J1750" s="3"/>
      <c r="K1750" s="3"/>
      <c r="L1750" s="3"/>
    </row>
    <row r="1751" spans="2:12" x14ac:dyDescent="0.3">
      <c r="B1751" s="1"/>
      <c r="C1751" s="1"/>
      <c r="I1751" s="3"/>
      <c r="J1751" s="3"/>
      <c r="K1751" s="3"/>
      <c r="L1751" s="3"/>
    </row>
    <row r="1752" spans="2:12" x14ac:dyDescent="0.3">
      <c r="B1752" s="1"/>
      <c r="C1752" s="1"/>
      <c r="I1752" s="3"/>
      <c r="J1752" s="3"/>
      <c r="K1752" s="3"/>
      <c r="L1752" s="3"/>
    </row>
    <row r="1753" spans="2:12" x14ac:dyDescent="0.3">
      <c r="B1753" s="1"/>
      <c r="C1753" s="1"/>
      <c r="I1753" s="3"/>
      <c r="J1753" s="3"/>
      <c r="K1753" s="3"/>
      <c r="L1753" s="3"/>
    </row>
    <row r="1754" spans="2:12" x14ac:dyDescent="0.3">
      <c r="B1754" s="1"/>
      <c r="C1754" s="1"/>
      <c r="I1754" s="3"/>
      <c r="J1754" s="3"/>
      <c r="K1754" s="3"/>
      <c r="L1754" s="3"/>
    </row>
    <row r="1755" spans="2:12" x14ac:dyDescent="0.3">
      <c r="B1755" s="1"/>
      <c r="C1755" s="1"/>
      <c r="I1755" s="3"/>
      <c r="J1755" s="3"/>
      <c r="K1755" s="3"/>
      <c r="L1755" s="3"/>
    </row>
    <row r="1756" spans="2:12" x14ac:dyDescent="0.3">
      <c r="B1756" s="1"/>
      <c r="C1756" s="1"/>
      <c r="I1756" s="3"/>
      <c r="J1756" s="3"/>
      <c r="K1756" s="3"/>
      <c r="L1756" s="3"/>
    </row>
    <row r="1757" spans="2:12" x14ac:dyDescent="0.3">
      <c r="B1757" s="1"/>
      <c r="C1757" s="1"/>
      <c r="I1757" s="3"/>
      <c r="J1757" s="3"/>
      <c r="K1757" s="3"/>
      <c r="L1757" s="3"/>
    </row>
    <row r="1758" spans="2:12" x14ac:dyDescent="0.3">
      <c r="B1758" s="1"/>
      <c r="C1758" s="1"/>
      <c r="I1758" s="3"/>
      <c r="J1758" s="3"/>
      <c r="K1758" s="3"/>
      <c r="L1758" s="3"/>
    </row>
    <row r="1759" spans="2:12" x14ac:dyDescent="0.3">
      <c r="B1759" s="1"/>
      <c r="C1759" s="1"/>
      <c r="I1759" s="3"/>
      <c r="J1759" s="3"/>
      <c r="K1759" s="3"/>
      <c r="L1759" s="3"/>
    </row>
    <row r="1760" spans="2:12" x14ac:dyDescent="0.3">
      <c r="B1760" s="1"/>
      <c r="C1760" s="1"/>
      <c r="I1760" s="3"/>
      <c r="J1760" s="3"/>
      <c r="K1760" s="3"/>
      <c r="L1760" s="3"/>
    </row>
    <row r="1761" spans="2:12" x14ac:dyDescent="0.3">
      <c r="B1761" s="1"/>
      <c r="C1761" s="1"/>
      <c r="I1761" s="3"/>
      <c r="J1761" s="3"/>
      <c r="K1761" s="3"/>
      <c r="L1761" s="3"/>
    </row>
    <row r="1762" spans="2:12" x14ac:dyDescent="0.3">
      <c r="B1762" s="1"/>
      <c r="C1762" s="1"/>
      <c r="I1762" s="3"/>
      <c r="J1762" s="3"/>
      <c r="K1762" s="3"/>
      <c r="L1762" s="3"/>
    </row>
    <row r="1763" spans="2:12" x14ac:dyDescent="0.3">
      <c r="B1763" s="1"/>
      <c r="C1763" s="1"/>
      <c r="I1763" s="3"/>
      <c r="J1763" s="3"/>
      <c r="K1763" s="3"/>
      <c r="L1763" s="3"/>
    </row>
    <row r="1764" spans="2:12" x14ac:dyDescent="0.3">
      <c r="B1764" s="1"/>
      <c r="C1764" s="1"/>
      <c r="I1764" s="3"/>
      <c r="J1764" s="3"/>
      <c r="K1764" s="3"/>
      <c r="L1764" s="3"/>
    </row>
    <row r="1765" spans="2:12" x14ac:dyDescent="0.3">
      <c r="B1765" s="1"/>
      <c r="C1765" s="1"/>
      <c r="I1765" s="3"/>
      <c r="J1765" s="3"/>
      <c r="K1765" s="3"/>
      <c r="L1765" s="3"/>
    </row>
    <row r="1766" spans="2:12" x14ac:dyDescent="0.3">
      <c r="B1766" s="1"/>
      <c r="C1766" s="1"/>
      <c r="I1766" s="3"/>
      <c r="J1766" s="3"/>
      <c r="K1766" s="3"/>
      <c r="L1766" s="3"/>
    </row>
    <row r="1767" spans="2:12" x14ac:dyDescent="0.3">
      <c r="B1767" s="1"/>
      <c r="C1767" s="1"/>
      <c r="I1767" s="3"/>
      <c r="J1767" s="3"/>
      <c r="K1767" s="3"/>
      <c r="L1767" s="3"/>
    </row>
    <row r="1768" spans="2:12" x14ac:dyDescent="0.3">
      <c r="B1768" s="1"/>
      <c r="C1768" s="1"/>
      <c r="I1768" s="3"/>
      <c r="J1768" s="3"/>
      <c r="K1768" s="3"/>
      <c r="L1768" s="3"/>
    </row>
    <row r="1769" spans="2:12" x14ac:dyDescent="0.3">
      <c r="B1769" s="1"/>
      <c r="C1769" s="1"/>
      <c r="I1769" s="3"/>
      <c r="J1769" s="3"/>
      <c r="K1769" s="3"/>
      <c r="L1769" s="3"/>
    </row>
    <row r="1770" spans="2:12" x14ac:dyDescent="0.3">
      <c r="B1770" s="1"/>
      <c r="C1770" s="1"/>
      <c r="I1770" s="3"/>
      <c r="J1770" s="3"/>
      <c r="K1770" s="3"/>
      <c r="L1770" s="3"/>
    </row>
    <row r="1771" spans="2:12" x14ac:dyDescent="0.3">
      <c r="B1771" s="1"/>
      <c r="C1771" s="1"/>
      <c r="I1771" s="3"/>
      <c r="J1771" s="3"/>
      <c r="K1771" s="3"/>
      <c r="L1771" s="3"/>
    </row>
    <row r="1772" spans="2:12" x14ac:dyDescent="0.3">
      <c r="B1772" s="1"/>
      <c r="C1772" s="1"/>
      <c r="I1772" s="3"/>
      <c r="J1772" s="3"/>
      <c r="K1772" s="3"/>
      <c r="L1772" s="3"/>
    </row>
    <row r="1773" spans="2:12" x14ac:dyDescent="0.3">
      <c r="B1773" s="1"/>
      <c r="C1773" s="1"/>
      <c r="I1773" s="3"/>
      <c r="J1773" s="3"/>
      <c r="K1773" s="3"/>
      <c r="L1773" s="3"/>
    </row>
    <row r="1774" spans="2:12" x14ac:dyDescent="0.3">
      <c r="B1774" s="1"/>
      <c r="C1774" s="1"/>
      <c r="I1774" s="3"/>
      <c r="J1774" s="3"/>
      <c r="K1774" s="3"/>
      <c r="L1774" s="3"/>
    </row>
    <row r="1775" spans="2:12" x14ac:dyDescent="0.3">
      <c r="B1775" s="1"/>
      <c r="C1775" s="1"/>
      <c r="I1775" s="3"/>
      <c r="J1775" s="3"/>
      <c r="K1775" s="3"/>
      <c r="L1775" s="3"/>
    </row>
    <row r="1776" spans="2:12" x14ac:dyDescent="0.3">
      <c r="B1776" s="1"/>
      <c r="C1776" s="1"/>
      <c r="I1776" s="3"/>
      <c r="J1776" s="3"/>
      <c r="K1776" s="3"/>
      <c r="L1776" s="3"/>
    </row>
    <row r="1777" spans="2:12" x14ac:dyDescent="0.3">
      <c r="B1777" s="1"/>
      <c r="C1777" s="1"/>
      <c r="I1777" s="3"/>
      <c r="J1777" s="3"/>
      <c r="K1777" s="3"/>
      <c r="L1777" s="3"/>
    </row>
    <row r="1778" spans="2:12" x14ac:dyDescent="0.3">
      <c r="B1778" s="1"/>
      <c r="C1778" s="1"/>
      <c r="I1778" s="3"/>
      <c r="J1778" s="3"/>
      <c r="K1778" s="3"/>
      <c r="L1778" s="3"/>
    </row>
    <row r="1779" spans="2:12" x14ac:dyDescent="0.3">
      <c r="B1779" s="1"/>
      <c r="C1779" s="1"/>
      <c r="I1779" s="3"/>
      <c r="J1779" s="3"/>
      <c r="K1779" s="3"/>
      <c r="L1779" s="3"/>
    </row>
    <row r="1780" spans="2:12" x14ac:dyDescent="0.3">
      <c r="B1780" s="1"/>
      <c r="C1780" s="1"/>
      <c r="I1780" s="3"/>
      <c r="J1780" s="3"/>
      <c r="K1780" s="3"/>
      <c r="L1780" s="3"/>
    </row>
    <row r="1781" spans="2:12" x14ac:dyDescent="0.3">
      <c r="B1781" s="1"/>
      <c r="C1781" s="1"/>
      <c r="I1781" s="3"/>
      <c r="J1781" s="3"/>
      <c r="K1781" s="3"/>
      <c r="L1781" s="3"/>
    </row>
    <row r="1782" spans="2:12" x14ac:dyDescent="0.3">
      <c r="B1782" s="1"/>
      <c r="C1782" s="1"/>
      <c r="I1782" s="3"/>
      <c r="J1782" s="3"/>
      <c r="K1782" s="3"/>
      <c r="L1782" s="3"/>
    </row>
    <row r="1783" spans="2:12" x14ac:dyDescent="0.3">
      <c r="B1783" s="1"/>
      <c r="C1783" s="1"/>
      <c r="I1783" s="3"/>
      <c r="J1783" s="3"/>
      <c r="K1783" s="3"/>
      <c r="L1783" s="3"/>
    </row>
    <row r="1784" spans="2:12" x14ac:dyDescent="0.3">
      <c r="B1784" s="1"/>
      <c r="C1784" s="1"/>
      <c r="I1784" s="3"/>
      <c r="J1784" s="3"/>
      <c r="K1784" s="3"/>
      <c r="L1784" s="3"/>
    </row>
    <row r="1785" spans="2:12" x14ac:dyDescent="0.3">
      <c r="B1785" s="1"/>
      <c r="C1785" s="1"/>
      <c r="I1785" s="3"/>
      <c r="J1785" s="3"/>
      <c r="K1785" s="3"/>
      <c r="L1785" s="3"/>
    </row>
    <row r="1786" spans="2:12" x14ac:dyDescent="0.3">
      <c r="B1786" s="1"/>
      <c r="C1786" s="1"/>
      <c r="I1786" s="3"/>
      <c r="J1786" s="3"/>
      <c r="K1786" s="3"/>
      <c r="L1786" s="3"/>
    </row>
    <row r="1787" spans="2:12" x14ac:dyDescent="0.3">
      <c r="B1787" s="1"/>
      <c r="C1787" s="1"/>
      <c r="I1787" s="3"/>
      <c r="J1787" s="3"/>
      <c r="K1787" s="3"/>
      <c r="L1787" s="3"/>
    </row>
    <row r="1788" spans="2:12" x14ac:dyDescent="0.3">
      <c r="B1788" s="1"/>
      <c r="C1788" s="1"/>
      <c r="I1788" s="3"/>
      <c r="J1788" s="3"/>
      <c r="K1788" s="3"/>
      <c r="L1788" s="3"/>
    </row>
    <row r="1789" spans="2:12" x14ac:dyDescent="0.3">
      <c r="B1789" s="1"/>
      <c r="C1789" s="1"/>
      <c r="I1789" s="3"/>
      <c r="J1789" s="3"/>
      <c r="K1789" s="3"/>
      <c r="L1789" s="3"/>
    </row>
    <row r="1790" spans="2:12" x14ac:dyDescent="0.3">
      <c r="B1790" s="1"/>
      <c r="C1790" s="1"/>
      <c r="I1790" s="3"/>
      <c r="J1790" s="3"/>
      <c r="K1790" s="3"/>
      <c r="L1790" s="3"/>
    </row>
    <row r="1791" spans="2:12" x14ac:dyDescent="0.3">
      <c r="B1791" s="1"/>
      <c r="C1791" s="1"/>
      <c r="I1791" s="3"/>
      <c r="J1791" s="3"/>
      <c r="K1791" s="3"/>
      <c r="L1791" s="3"/>
    </row>
    <row r="1792" spans="2:12" x14ac:dyDescent="0.3">
      <c r="B1792" s="1"/>
      <c r="C1792" s="1"/>
      <c r="I1792" s="3"/>
      <c r="J1792" s="3"/>
      <c r="K1792" s="3"/>
      <c r="L1792" s="3"/>
    </row>
    <row r="1793" spans="2:12" x14ac:dyDescent="0.3">
      <c r="B1793" s="1"/>
      <c r="C1793" s="1"/>
      <c r="I1793" s="3"/>
      <c r="J1793" s="3"/>
      <c r="K1793" s="3"/>
      <c r="L1793" s="3"/>
    </row>
    <row r="1794" spans="2:12" x14ac:dyDescent="0.3">
      <c r="B1794" s="1"/>
      <c r="C1794" s="1"/>
      <c r="I1794" s="3"/>
      <c r="J1794" s="3"/>
      <c r="K1794" s="3"/>
      <c r="L1794" s="3"/>
    </row>
    <row r="1795" spans="2:12" x14ac:dyDescent="0.3">
      <c r="B1795" s="1"/>
      <c r="C1795" s="1"/>
      <c r="I1795" s="3"/>
      <c r="J1795" s="3"/>
      <c r="K1795" s="3"/>
      <c r="L1795" s="3"/>
    </row>
    <row r="1796" spans="2:12" x14ac:dyDescent="0.3">
      <c r="B1796" s="1"/>
      <c r="C1796" s="1"/>
      <c r="I1796" s="3"/>
      <c r="J1796" s="3"/>
      <c r="K1796" s="3"/>
      <c r="L1796" s="3"/>
    </row>
    <row r="1797" spans="2:12" x14ac:dyDescent="0.3">
      <c r="B1797" s="1"/>
      <c r="C1797" s="1"/>
      <c r="I1797" s="3"/>
      <c r="J1797" s="3"/>
      <c r="K1797" s="3"/>
      <c r="L1797" s="3"/>
    </row>
    <row r="1798" spans="2:12" x14ac:dyDescent="0.3">
      <c r="B1798" s="1"/>
      <c r="C1798" s="1"/>
      <c r="I1798" s="3"/>
      <c r="J1798" s="3"/>
      <c r="K1798" s="3"/>
      <c r="L1798" s="3"/>
    </row>
    <row r="1799" spans="2:12" x14ac:dyDescent="0.3">
      <c r="B1799" s="1"/>
      <c r="C1799" s="1"/>
      <c r="I1799" s="3"/>
      <c r="J1799" s="3"/>
      <c r="K1799" s="3"/>
      <c r="L1799" s="3"/>
    </row>
    <row r="1800" spans="2:12" x14ac:dyDescent="0.3">
      <c r="B1800" s="1"/>
      <c r="C1800" s="1"/>
      <c r="I1800" s="3"/>
      <c r="J1800" s="3"/>
      <c r="K1800" s="3"/>
      <c r="L1800" s="3"/>
    </row>
    <row r="1801" spans="2:12" x14ac:dyDescent="0.3">
      <c r="B1801" s="1"/>
      <c r="C1801" s="1"/>
      <c r="I1801" s="3"/>
      <c r="J1801" s="3"/>
      <c r="K1801" s="3"/>
      <c r="L1801" s="3"/>
    </row>
    <row r="1802" spans="2:12" x14ac:dyDescent="0.3">
      <c r="B1802" s="1"/>
      <c r="C1802" s="1"/>
      <c r="I1802" s="3"/>
      <c r="J1802" s="3"/>
      <c r="K1802" s="3"/>
      <c r="L1802" s="3"/>
    </row>
    <row r="1803" spans="2:12" x14ac:dyDescent="0.3">
      <c r="B1803" s="1"/>
      <c r="C1803" s="1"/>
      <c r="I1803" s="3"/>
      <c r="J1803" s="3"/>
      <c r="K1803" s="3"/>
      <c r="L1803" s="3"/>
    </row>
    <row r="1804" spans="2:12" x14ac:dyDescent="0.3">
      <c r="B1804" s="1"/>
      <c r="C1804" s="1"/>
      <c r="I1804" s="3"/>
      <c r="J1804" s="3"/>
      <c r="K1804" s="3"/>
      <c r="L1804" s="3"/>
    </row>
    <row r="1805" spans="2:12" x14ac:dyDescent="0.3">
      <c r="B1805" s="1"/>
      <c r="C1805" s="1"/>
      <c r="I1805" s="3"/>
      <c r="J1805" s="3"/>
      <c r="K1805" s="3"/>
      <c r="L1805" s="3"/>
    </row>
    <row r="1806" spans="2:12" x14ac:dyDescent="0.3">
      <c r="B1806" s="1"/>
      <c r="C1806" s="1"/>
      <c r="I1806" s="3"/>
      <c r="J1806" s="3"/>
      <c r="K1806" s="3"/>
      <c r="L1806" s="3"/>
    </row>
    <row r="1807" spans="2:12" x14ac:dyDescent="0.3">
      <c r="B1807" s="1"/>
      <c r="C1807" s="1"/>
      <c r="I1807" s="3"/>
      <c r="J1807" s="3"/>
      <c r="K1807" s="3"/>
      <c r="L1807" s="3"/>
    </row>
    <row r="1808" spans="2:12" x14ac:dyDescent="0.3">
      <c r="B1808" s="1"/>
      <c r="C1808" s="1"/>
      <c r="I1808" s="3"/>
      <c r="J1808" s="3"/>
      <c r="K1808" s="3"/>
      <c r="L1808" s="3"/>
    </row>
    <row r="1809" spans="2:12" x14ac:dyDescent="0.3">
      <c r="B1809" s="1"/>
      <c r="C1809" s="1"/>
      <c r="I1809" s="3"/>
      <c r="J1809" s="3"/>
      <c r="K1809" s="3"/>
      <c r="L1809" s="3"/>
    </row>
    <row r="1810" spans="2:12" x14ac:dyDescent="0.3">
      <c r="B1810" s="1"/>
      <c r="C1810" s="1"/>
      <c r="I1810" s="3"/>
      <c r="J1810" s="3"/>
      <c r="K1810" s="3"/>
      <c r="L1810" s="3"/>
    </row>
    <row r="1811" spans="2:12" x14ac:dyDescent="0.3">
      <c r="B1811" s="1"/>
      <c r="C1811" s="1"/>
      <c r="I1811" s="3"/>
      <c r="J1811" s="3"/>
      <c r="K1811" s="3"/>
      <c r="L1811" s="3"/>
    </row>
    <row r="1812" spans="2:12" x14ac:dyDescent="0.3">
      <c r="B1812" s="1"/>
      <c r="C1812" s="1"/>
      <c r="I1812" s="3"/>
      <c r="J1812" s="3"/>
      <c r="K1812" s="3"/>
      <c r="L1812" s="3"/>
    </row>
    <row r="1813" spans="2:12" x14ac:dyDescent="0.3">
      <c r="B1813" s="1"/>
      <c r="C1813" s="1"/>
      <c r="I1813" s="3"/>
      <c r="J1813" s="3"/>
      <c r="K1813" s="3"/>
      <c r="L1813" s="3"/>
    </row>
    <row r="1814" spans="2:12" x14ac:dyDescent="0.3">
      <c r="B1814" s="1"/>
      <c r="C1814" s="1"/>
      <c r="I1814" s="3"/>
      <c r="J1814" s="3"/>
      <c r="K1814" s="3"/>
      <c r="L1814" s="3"/>
    </row>
    <row r="1815" spans="2:12" x14ac:dyDescent="0.3">
      <c r="B1815" s="1"/>
      <c r="C1815" s="1"/>
      <c r="I1815" s="3"/>
      <c r="J1815" s="3"/>
      <c r="K1815" s="3"/>
      <c r="L1815" s="3"/>
    </row>
    <row r="1816" spans="2:12" x14ac:dyDescent="0.3">
      <c r="B1816" s="1"/>
      <c r="C1816" s="1"/>
      <c r="I1816" s="3"/>
      <c r="J1816" s="3"/>
      <c r="K1816" s="3"/>
      <c r="L1816" s="3"/>
    </row>
    <row r="1817" spans="2:12" x14ac:dyDescent="0.3">
      <c r="B1817" s="1"/>
      <c r="C1817" s="1"/>
      <c r="I1817" s="3"/>
      <c r="J1817" s="3"/>
      <c r="K1817" s="3"/>
      <c r="L1817" s="3"/>
    </row>
    <row r="1818" spans="2:12" x14ac:dyDescent="0.3">
      <c r="B1818" s="1"/>
      <c r="C1818" s="1"/>
      <c r="I1818" s="3"/>
      <c r="J1818" s="3"/>
      <c r="K1818" s="3"/>
      <c r="L1818" s="3"/>
    </row>
    <row r="1819" spans="2:12" x14ac:dyDescent="0.3">
      <c r="B1819" s="1"/>
      <c r="C1819" s="1"/>
      <c r="I1819" s="3"/>
      <c r="J1819" s="3"/>
      <c r="K1819" s="3"/>
      <c r="L1819" s="3"/>
    </row>
    <row r="1820" spans="2:12" x14ac:dyDescent="0.3">
      <c r="B1820" s="1"/>
      <c r="C1820" s="1"/>
      <c r="I1820" s="3"/>
      <c r="J1820" s="3"/>
      <c r="K1820" s="3"/>
      <c r="L1820" s="3"/>
    </row>
    <row r="1821" spans="2:12" x14ac:dyDescent="0.3">
      <c r="B1821" s="1"/>
      <c r="C1821" s="1"/>
      <c r="I1821" s="3"/>
      <c r="J1821" s="3"/>
      <c r="K1821" s="3"/>
      <c r="L1821" s="3"/>
    </row>
    <row r="1822" spans="2:12" x14ac:dyDescent="0.3">
      <c r="B1822" s="1"/>
      <c r="C1822" s="1"/>
      <c r="I1822" s="3"/>
      <c r="J1822" s="3"/>
      <c r="K1822" s="3"/>
      <c r="L1822" s="3"/>
    </row>
    <row r="1823" spans="2:12" x14ac:dyDescent="0.3">
      <c r="B1823" s="1"/>
      <c r="C1823" s="1"/>
      <c r="I1823" s="3"/>
      <c r="J1823" s="3"/>
      <c r="K1823" s="3"/>
      <c r="L1823" s="3"/>
    </row>
    <row r="1824" spans="2:12" x14ac:dyDescent="0.3">
      <c r="B1824" s="1"/>
      <c r="C1824" s="1"/>
      <c r="I1824" s="3"/>
      <c r="J1824" s="3"/>
      <c r="K1824" s="3"/>
      <c r="L1824" s="3"/>
    </row>
    <row r="1825" spans="2:12" x14ac:dyDescent="0.3">
      <c r="B1825" s="1"/>
      <c r="C1825" s="1"/>
      <c r="I1825" s="3"/>
      <c r="J1825" s="3"/>
      <c r="K1825" s="3"/>
      <c r="L1825" s="3"/>
    </row>
    <row r="1826" spans="2:12" x14ac:dyDescent="0.3">
      <c r="B1826" s="1"/>
      <c r="C1826" s="1"/>
      <c r="I1826" s="3"/>
      <c r="J1826" s="3"/>
      <c r="K1826" s="3"/>
      <c r="L1826" s="3"/>
    </row>
    <row r="1827" spans="2:12" x14ac:dyDescent="0.3">
      <c r="B1827" s="1"/>
      <c r="C1827" s="1"/>
      <c r="I1827" s="3"/>
      <c r="J1827" s="3"/>
      <c r="K1827" s="3"/>
      <c r="L1827" s="3"/>
    </row>
    <row r="1828" spans="2:12" x14ac:dyDescent="0.3">
      <c r="B1828" s="1"/>
      <c r="C1828" s="1"/>
      <c r="I1828" s="3"/>
      <c r="J1828" s="3"/>
      <c r="K1828" s="3"/>
      <c r="L1828" s="3"/>
    </row>
    <row r="1829" spans="2:12" x14ac:dyDescent="0.3">
      <c r="B1829" s="1"/>
      <c r="C1829" s="1"/>
      <c r="I1829" s="3"/>
      <c r="J1829" s="3"/>
      <c r="K1829" s="3"/>
      <c r="L1829" s="3"/>
    </row>
    <row r="1830" spans="2:12" x14ac:dyDescent="0.3">
      <c r="B1830" s="1"/>
      <c r="C1830" s="1"/>
      <c r="I1830" s="3"/>
      <c r="J1830" s="3"/>
      <c r="K1830" s="3"/>
      <c r="L1830" s="3"/>
    </row>
    <row r="1831" spans="2:12" x14ac:dyDescent="0.3">
      <c r="B1831" s="1"/>
      <c r="C1831" s="1"/>
      <c r="I1831" s="3"/>
      <c r="J1831" s="3"/>
      <c r="K1831" s="3"/>
      <c r="L1831" s="3"/>
    </row>
    <row r="1832" spans="2:12" x14ac:dyDescent="0.3">
      <c r="B1832" s="1"/>
      <c r="C1832" s="1"/>
      <c r="I1832" s="3"/>
      <c r="J1832" s="3"/>
      <c r="K1832" s="3"/>
      <c r="L1832" s="3"/>
    </row>
    <row r="1833" spans="2:12" x14ac:dyDescent="0.3">
      <c r="B1833" s="1"/>
      <c r="C1833" s="1"/>
      <c r="I1833" s="3"/>
      <c r="J1833" s="3"/>
      <c r="K1833" s="3"/>
      <c r="L1833" s="3"/>
    </row>
    <row r="1834" spans="2:12" x14ac:dyDescent="0.3">
      <c r="B1834" s="1"/>
      <c r="C1834" s="1"/>
      <c r="I1834" s="3"/>
      <c r="J1834" s="3"/>
      <c r="K1834" s="3"/>
      <c r="L1834" s="3"/>
    </row>
    <row r="1835" spans="2:12" x14ac:dyDescent="0.3">
      <c r="B1835" s="1"/>
      <c r="C1835" s="1"/>
      <c r="I1835" s="3"/>
      <c r="J1835" s="3"/>
      <c r="K1835" s="3"/>
      <c r="L1835" s="3"/>
    </row>
    <row r="1836" spans="2:12" x14ac:dyDescent="0.3">
      <c r="B1836" s="1"/>
      <c r="C1836" s="1"/>
      <c r="I1836" s="3"/>
      <c r="J1836" s="3"/>
      <c r="K1836" s="3"/>
      <c r="L1836" s="3"/>
    </row>
    <row r="1837" spans="2:12" x14ac:dyDescent="0.3">
      <c r="B1837" s="1"/>
      <c r="C1837" s="1"/>
      <c r="I1837" s="3"/>
      <c r="J1837" s="3"/>
      <c r="K1837" s="3"/>
      <c r="L1837" s="3"/>
    </row>
    <row r="1838" spans="2:12" x14ac:dyDescent="0.3">
      <c r="B1838" s="1"/>
      <c r="C1838" s="1"/>
      <c r="I1838" s="3"/>
      <c r="J1838" s="3"/>
      <c r="K1838" s="3"/>
      <c r="L1838" s="3"/>
    </row>
    <row r="1839" spans="2:12" x14ac:dyDescent="0.3">
      <c r="B1839" s="1"/>
      <c r="C1839" s="1"/>
      <c r="I1839" s="3"/>
      <c r="J1839" s="3"/>
      <c r="K1839" s="3"/>
      <c r="L1839" s="3"/>
    </row>
    <row r="1840" spans="2:12" x14ac:dyDescent="0.3">
      <c r="B1840" s="1"/>
      <c r="C1840" s="1"/>
      <c r="I1840" s="3"/>
      <c r="J1840" s="3"/>
      <c r="K1840" s="3"/>
      <c r="L1840" s="3"/>
    </row>
    <row r="1841" spans="2:12" x14ac:dyDescent="0.3">
      <c r="B1841" s="1"/>
      <c r="C1841" s="1"/>
      <c r="I1841" s="3"/>
      <c r="J1841" s="3"/>
      <c r="K1841" s="3"/>
      <c r="L1841" s="3"/>
    </row>
    <row r="1842" spans="2:12" x14ac:dyDescent="0.3">
      <c r="B1842" s="1"/>
      <c r="C1842" s="1"/>
      <c r="I1842" s="3"/>
      <c r="J1842" s="3"/>
      <c r="K1842" s="3"/>
      <c r="L1842" s="3"/>
    </row>
    <row r="1843" spans="2:12" x14ac:dyDescent="0.3">
      <c r="B1843" s="1"/>
      <c r="C1843" s="1"/>
      <c r="I1843" s="3"/>
      <c r="J1843" s="3"/>
      <c r="K1843" s="3"/>
      <c r="L1843" s="3"/>
    </row>
    <row r="1844" spans="2:12" x14ac:dyDescent="0.3">
      <c r="B1844" s="1"/>
      <c r="C1844" s="1"/>
      <c r="I1844" s="3"/>
      <c r="J1844" s="3"/>
      <c r="K1844" s="3"/>
      <c r="L1844" s="3"/>
    </row>
    <row r="1845" spans="2:12" x14ac:dyDescent="0.3">
      <c r="B1845" s="1"/>
      <c r="C1845" s="1"/>
      <c r="I1845" s="3"/>
      <c r="J1845" s="3"/>
      <c r="K1845" s="3"/>
      <c r="L1845" s="3"/>
    </row>
    <row r="1846" spans="2:12" x14ac:dyDescent="0.3">
      <c r="B1846" s="1"/>
      <c r="C1846" s="1"/>
      <c r="I1846" s="3"/>
      <c r="J1846" s="3"/>
      <c r="K1846" s="3"/>
      <c r="L1846" s="3"/>
    </row>
    <row r="1847" spans="2:12" x14ac:dyDescent="0.3">
      <c r="B1847" s="1"/>
      <c r="C1847" s="1"/>
      <c r="I1847" s="3"/>
      <c r="J1847" s="3"/>
      <c r="K1847" s="3"/>
      <c r="L1847" s="3"/>
    </row>
    <row r="1848" spans="2:12" x14ac:dyDescent="0.3">
      <c r="B1848" s="1"/>
      <c r="C1848" s="1"/>
      <c r="I1848" s="3"/>
      <c r="J1848" s="3"/>
      <c r="K1848" s="3"/>
      <c r="L1848" s="3"/>
    </row>
    <row r="1849" spans="2:12" x14ac:dyDescent="0.3">
      <c r="B1849" s="1"/>
      <c r="C1849" s="1"/>
      <c r="I1849" s="3"/>
      <c r="J1849" s="3"/>
      <c r="K1849" s="3"/>
      <c r="L1849" s="3"/>
    </row>
    <row r="1850" spans="2:12" x14ac:dyDescent="0.3">
      <c r="B1850" s="1"/>
      <c r="C1850" s="1"/>
      <c r="I1850" s="3"/>
      <c r="J1850" s="3"/>
      <c r="K1850" s="3"/>
      <c r="L1850" s="3"/>
    </row>
    <row r="1851" spans="2:12" x14ac:dyDescent="0.3">
      <c r="B1851" s="1"/>
      <c r="C1851" s="1"/>
      <c r="I1851" s="3"/>
      <c r="J1851" s="3"/>
      <c r="K1851" s="3"/>
      <c r="L1851" s="3"/>
    </row>
    <row r="1852" spans="2:12" x14ac:dyDescent="0.3">
      <c r="B1852" s="1"/>
      <c r="C1852" s="1"/>
      <c r="I1852" s="3"/>
      <c r="J1852" s="3"/>
      <c r="K1852" s="3"/>
      <c r="L1852" s="3"/>
    </row>
    <row r="1853" spans="2:12" x14ac:dyDescent="0.3">
      <c r="B1853" s="1"/>
      <c r="C1853" s="1"/>
      <c r="I1853" s="3"/>
      <c r="J1853" s="3"/>
      <c r="K1853" s="3"/>
      <c r="L1853" s="3"/>
    </row>
    <row r="1854" spans="2:12" x14ac:dyDescent="0.3">
      <c r="B1854" s="1"/>
      <c r="C1854" s="1"/>
      <c r="I1854" s="3"/>
      <c r="J1854" s="3"/>
      <c r="K1854" s="3"/>
      <c r="L1854" s="3"/>
    </row>
    <row r="1855" spans="2:12" x14ac:dyDescent="0.3">
      <c r="B1855" s="1"/>
      <c r="C1855" s="1"/>
      <c r="I1855" s="3"/>
      <c r="J1855" s="3"/>
      <c r="K1855" s="3"/>
      <c r="L1855" s="3"/>
    </row>
    <row r="1856" spans="2:12" x14ac:dyDescent="0.3">
      <c r="B1856" s="1"/>
      <c r="C1856" s="1"/>
      <c r="I1856" s="3"/>
      <c r="J1856" s="3"/>
      <c r="K1856" s="3"/>
      <c r="L1856" s="3"/>
    </row>
    <row r="1857" spans="2:12" x14ac:dyDescent="0.3">
      <c r="B1857" s="1"/>
      <c r="C1857" s="1"/>
      <c r="I1857" s="3"/>
      <c r="J1857" s="3"/>
      <c r="K1857" s="3"/>
      <c r="L1857" s="3"/>
    </row>
    <row r="1858" spans="2:12" x14ac:dyDescent="0.3">
      <c r="B1858" s="1"/>
      <c r="C1858" s="1"/>
      <c r="I1858" s="3"/>
      <c r="J1858" s="3"/>
      <c r="K1858" s="3"/>
      <c r="L1858" s="3"/>
    </row>
    <row r="1859" spans="2:12" x14ac:dyDescent="0.3">
      <c r="B1859" s="1"/>
      <c r="C1859" s="1"/>
      <c r="I1859" s="3"/>
      <c r="J1859" s="3"/>
      <c r="K1859" s="3"/>
      <c r="L1859" s="3"/>
    </row>
    <row r="1860" spans="2:12" x14ac:dyDescent="0.3">
      <c r="B1860" s="1"/>
      <c r="C1860" s="1"/>
      <c r="I1860" s="3"/>
      <c r="J1860" s="3"/>
      <c r="K1860" s="3"/>
      <c r="L1860" s="3"/>
    </row>
    <row r="1861" spans="2:12" x14ac:dyDescent="0.3">
      <c r="B1861" s="1"/>
      <c r="C1861" s="1"/>
      <c r="I1861" s="3"/>
      <c r="J1861" s="3"/>
      <c r="K1861" s="3"/>
      <c r="L1861" s="3"/>
    </row>
    <row r="1862" spans="2:12" x14ac:dyDescent="0.3">
      <c r="B1862" s="1"/>
      <c r="C1862" s="1"/>
      <c r="I1862" s="3"/>
      <c r="J1862" s="3"/>
      <c r="K1862" s="3"/>
      <c r="L1862" s="3"/>
    </row>
    <row r="1863" spans="2:12" x14ac:dyDescent="0.3">
      <c r="B1863" s="1"/>
      <c r="C1863" s="1"/>
      <c r="I1863" s="3"/>
      <c r="J1863" s="3"/>
      <c r="K1863" s="3"/>
      <c r="L1863" s="3"/>
    </row>
    <row r="1864" spans="2:12" x14ac:dyDescent="0.3">
      <c r="B1864" s="1"/>
      <c r="C1864" s="1"/>
      <c r="I1864" s="3"/>
      <c r="J1864" s="3"/>
      <c r="K1864" s="3"/>
      <c r="L1864" s="3"/>
    </row>
    <row r="1865" spans="2:12" x14ac:dyDescent="0.3">
      <c r="B1865" s="1"/>
      <c r="C1865" s="1"/>
      <c r="I1865" s="3"/>
      <c r="J1865" s="3"/>
      <c r="K1865" s="3"/>
      <c r="L1865" s="3"/>
    </row>
    <row r="1866" spans="2:12" x14ac:dyDescent="0.3">
      <c r="B1866" s="1"/>
      <c r="C1866" s="1"/>
      <c r="I1866" s="3"/>
      <c r="J1866" s="3"/>
      <c r="K1866" s="3"/>
      <c r="L1866" s="3"/>
    </row>
    <row r="1867" spans="2:12" x14ac:dyDescent="0.3">
      <c r="B1867" s="1"/>
      <c r="C1867" s="1"/>
      <c r="I1867" s="3"/>
      <c r="J1867" s="3"/>
      <c r="K1867" s="3"/>
      <c r="L1867" s="3"/>
    </row>
    <row r="1868" spans="2:12" x14ac:dyDescent="0.3">
      <c r="B1868" s="1"/>
      <c r="C1868" s="1"/>
      <c r="I1868" s="3"/>
      <c r="J1868" s="3"/>
      <c r="K1868" s="3"/>
      <c r="L1868" s="3"/>
    </row>
    <row r="1869" spans="2:12" x14ac:dyDescent="0.3">
      <c r="B1869" s="1"/>
      <c r="C1869" s="1"/>
      <c r="I1869" s="3"/>
      <c r="J1869" s="3"/>
      <c r="K1869" s="3"/>
      <c r="L1869" s="3"/>
    </row>
    <row r="1870" spans="2:12" x14ac:dyDescent="0.3">
      <c r="B1870" s="1"/>
      <c r="C1870" s="1"/>
      <c r="I1870" s="3"/>
      <c r="J1870" s="3"/>
      <c r="K1870" s="3"/>
      <c r="L1870" s="3"/>
    </row>
    <row r="1871" spans="2:12" x14ac:dyDescent="0.3">
      <c r="B1871" s="1"/>
      <c r="C1871" s="1"/>
      <c r="I1871" s="3"/>
      <c r="J1871" s="3"/>
      <c r="K1871" s="3"/>
      <c r="L1871" s="3"/>
    </row>
    <row r="1872" spans="2:12" x14ac:dyDescent="0.3">
      <c r="B1872" s="1"/>
      <c r="C1872" s="1"/>
      <c r="I1872" s="3"/>
      <c r="J1872" s="3"/>
      <c r="K1872" s="3"/>
      <c r="L1872" s="3"/>
    </row>
    <row r="1873" spans="2:12" x14ac:dyDescent="0.3">
      <c r="B1873" s="1"/>
      <c r="C1873" s="1"/>
      <c r="I1873" s="3"/>
      <c r="J1873" s="3"/>
      <c r="K1873" s="3"/>
      <c r="L1873" s="3"/>
    </row>
    <row r="1874" spans="2:12" x14ac:dyDescent="0.3">
      <c r="B1874" s="1"/>
      <c r="C1874" s="1"/>
      <c r="I1874" s="3"/>
      <c r="J1874" s="3"/>
      <c r="K1874" s="3"/>
      <c r="L1874" s="3"/>
    </row>
    <row r="1875" spans="2:12" x14ac:dyDescent="0.3">
      <c r="B1875" s="1"/>
      <c r="C1875" s="1"/>
      <c r="I1875" s="3"/>
      <c r="J1875" s="3"/>
      <c r="K1875" s="3"/>
      <c r="L1875" s="3"/>
    </row>
    <row r="1876" spans="2:12" x14ac:dyDescent="0.3">
      <c r="B1876" s="1"/>
      <c r="C1876" s="1"/>
      <c r="I1876" s="3"/>
      <c r="J1876" s="3"/>
      <c r="K1876" s="3"/>
      <c r="L1876" s="3"/>
    </row>
    <row r="1877" spans="2:12" x14ac:dyDescent="0.3">
      <c r="B1877" s="1"/>
      <c r="C1877" s="1"/>
      <c r="I1877" s="3"/>
      <c r="J1877" s="3"/>
      <c r="K1877" s="3"/>
      <c r="L1877" s="3"/>
    </row>
    <row r="1878" spans="2:12" x14ac:dyDescent="0.3">
      <c r="B1878" s="1"/>
      <c r="C1878" s="1"/>
      <c r="I1878" s="3"/>
      <c r="J1878" s="3"/>
      <c r="K1878" s="3"/>
      <c r="L1878" s="3"/>
    </row>
    <row r="1879" spans="2:12" x14ac:dyDescent="0.3">
      <c r="B1879" s="1"/>
      <c r="C1879" s="1"/>
      <c r="I1879" s="3"/>
      <c r="J1879" s="3"/>
      <c r="K1879" s="3"/>
      <c r="L1879" s="3"/>
    </row>
    <row r="1880" spans="2:12" x14ac:dyDescent="0.3">
      <c r="B1880" s="1"/>
      <c r="C1880" s="1"/>
      <c r="I1880" s="3"/>
      <c r="J1880" s="3"/>
      <c r="K1880" s="3"/>
      <c r="L1880" s="3"/>
    </row>
    <row r="1881" spans="2:12" x14ac:dyDescent="0.3">
      <c r="B1881" s="1"/>
      <c r="C1881" s="1"/>
      <c r="I1881" s="3"/>
      <c r="J1881" s="3"/>
      <c r="K1881" s="3"/>
      <c r="L1881" s="3"/>
    </row>
    <row r="1882" spans="2:12" x14ac:dyDescent="0.3">
      <c r="B1882" s="1"/>
      <c r="C1882" s="1"/>
      <c r="I1882" s="3"/>
      <c r="J1882" s="3"/>
      <c r="K1882" s="3"/>
      <c r="L1882" s="3"/>
    </row>
    <row r="1883" spans="2:12" x14ac:dyDescent="0.3">
      <c r="B1883" s="1"/>
      <c r="C1883" s="1"/>
      <c r="I1883" s="3"/>
      <c r="J1883" s="3"/>
      <c r="K1883" s="3"/>
      <c r="L1883" s="3"/>
    </row>
    <row r="1884" spans="2:12" x14ac:dyDescent="0.3">
      <c r="B1884" s="1"/>
      <c r="C1884" s="1"/>
      <c r="I1884" s="3"/>
      <c r="J1884" s="3"/>
      <c r="K1884" s="3"/>
      <c r="L1884" s="3"/>
    </row>
    <row r="1885" spans="2:12" x14ac:dyDescent="0.3">
      <c r="B1885" s="1"/>
      <c r="C1885" s="1"/>
      <c r="I1885" s="3"/>
      <c r="J1885" s="3"/>
      <c r="K1885" s="3"/>
      <c r="L1885" s="3"/>
    </row>
    <row r="1886" spans="2:12" x14ac:dyDescent="0.3">
      <c r="B1886" s="1"/>
      <c r="C1886" s="1"/>
      <c r="I1886" s="3"/>
      <c r="J1886" s="3"/>
      <c r="K1886" s="3"/>
      <c r="L1886" s="3"/>
    </row>
    <row r="1887" spans="2:12" x14ac:dyDescent="0.3">
      <c r="B1887" s="1"/>
      <c r="C1887" s="1"/>
      <c r="I1887" s="3"/>
      <c r="J1887" s="3"/>
      <c r="K1887" s="3"/>
      <c r="L1887" s="3"/>
    </row>
    <row r="1888" spans="2:12" x14ac:dyDescent="0.3">
      <c r="B1888" s="1"/>
      <c r="C1888" s="1"/>
      <c r="I1888" s="3"/>
      <c r="J1888" s="3"/>
      <c r="K1888" s="3"/>
      <c r="L1888" s="3"/>
    </row>
    <row r="1889" spans="2:12" x14ac:dyDescent="0.3">
      <c r="B1889" s="1"/>
      <c r="C1889" s="1"/>
      <c r="I1889" s="3"/>
      <c r="J1889" s="3"/>
      <c r="K1889" s="3"/>
      <c r="L1889" s="3"/>
    </row>
    <row r="1890" spans="2:12" x14ac:dyDescent="0.3">
      <c r="B1890" s="1"/>
      <c r="C1890" s="1"/>
      <c r="I1890" s="3"/>
      <c r="J1890" s="3"/>
      <c r="K1890" s="3"/>
      <c r="L1890" s="3"/>
    </row>
    <row r="1891" spans="2:12" x14ac:dyDescent="0.3">
      <c r="B1891" s="1"/>
      <c r="C1891" s="1"/>
      <c r="I1891" s="3"/>
      <c r="J1891" s="3"/>
      <c r="K1891" s="3"/>
      <c r="L1891" s="3"/>
    </row>
    <row r="1892" spans="2:12" x14ac:dyDescent="0.3">
      <c r="B1892" s="1"/>
      <c r="C1892" s="1"/>
      <c r="I1892" s="3"/>
      <c r="J1892" s="3"/>
      <c r="K1892" s="3"/>
      <c r="L1892" s="3"/>
    </row>
    <row r="1893" spans="2:12" x14ac:dyDescent="0.3">
      <c r="B1893" s="1"/>
      <c r="C1893" s="1"/>
      <c r="I1893" s="3"/>
      <c r="J1893" s="3"/>
      <c r="K1893" s="3"/>
      <c r="L1893" s="3"/>
    </row>
    <row r="1894" spans="2:12" x14ac:dyDescent="0.3">
      <c r="B1894" s="1"/>
      <c r="C1894" s="1"/>
      <c r="I1894" s="3"/>
      <c r="J1894" s="3"/>
      <c r="K1894" s="3"/>
      <c r="L1894" s="3"/>
    </row>
    <row r="1895" spans="2:12" x14ac:dyDescent="0.3">
      <c r="B1895" s="1"/>
      <c r="C1895" s="1"/>
      <c r="I1895" s="3"/>
      <c r="J1895" s="3"/>
      <c r="K1895" s="3"/>
      <c r="L1895" s="3"/>
    </row>
    <row r="1896" spans="2:12" x14ac:dyDescent="0.3">
      <c r="B1896" s="1"/>
      <c r="C1896" s="1"/>
      <c r="I1896" s="3"/>
      <c r="J1896" s="3"/>
      <c r="K1896" s="3"/>
      <c r="L1896" s="3"/>
    </row>
    <row r="1897" spans="2:12" x14ac:dyDescent="0.3">
      <c r="B1897" s="1"/>
      <c r="C1897" s="1"/>
      <c r="I1897" s="3"/>
      <c r="J1897" s="3"/>
      <c r="K1897" s="3"/>
      <c r="L1897" s="3"/>
    </row>
    <row r="1898" spans="2:12" x14ac:dyDescent="0.3">
      <c r="B1898" s="1"/>
      <c r="C1898" s="1"/>
      <c r="I1898" s="3"/>
      <c r="J1898" s="3"/>
      <c r="K1898" s="3"/>
      <c r="L1898" s="3"/>
    </row>
    <row r="1899" spans="2:12" x14ac:dyDescent="0.3">
      <c r="B1899" s="1"/>
      <c r="C1899" s="1"/>
      <c r="I1899" s="3"/>
      <c r="J1899" s="3"/>
      <c r="K1899" s="3"/>
      <c r="L1899" s="3"/>
    </row>
    <row r="1900" spans="2:12" x14ac:dyDescent="0.3">
      <c r="B1900" s="1"/>
      <c r="C1900" s="1"/>
      <c r="I1900" s="3"/>
      <c r="J1900" s="3"/>
      <c r="K1900" s="3"/>
      <c r="L1900" s="3"/>
    </row>
    <row r="1901" spans="2:12" x14ac:dyDescent="0.3">
      <c r="B1901" s="1"/>
      <c r="C1901" s="1"/>
      <c r="I1901" s="3"/>
      <c r="J1901" s="3"/>
      <c r="K1901" s="3"/>
      <c r="L1901" s="3"/>
    </row>
    <row r="1902" spans="2:12" x14ac:dyDescent="0.3">
      <c r="B1902" s="1"/>
      <c r="C1902" s="1"/>
      <c r="I1902" s="3"/>
      <c r="J1902" s="3"/>
      <c r="K1902" s="3"/>
      <c r="L1902" s="3"/>
    </row>
    <row r="1903" spans="2:12" x14ac:dyDescent="0.3">
      <c r="B1903" s="1"/>
      <c r="C1903" s="1"/>
      <c r="I1903" s="3"/>
      <c r="J1903" s="3"/>
      <c r="K1903" s="3"/>
      <c r="L1903" s="3"/>
    </row>
    <row r="1904" spans="2:12" x14ac:dyDescent="0.3">
      <c r="B1904" s="1"/>
      <c r="C1904" s="1"/>
      <c r="I1904" s="3"/>
      <c r="J1904" s="3"/>
      <c r="K1904" s="3"/>
      <c r="L1904" s="3"/>
    </row>
    <row r="1905" spans="2:12" x14ac:dyDescent="0.3">
      <c r="B1905" s="1"/>
      <c r="C1905" s="1"/>
      <c r="I1905" s="3"/>
      <c r="J1905" s="3"/>
      <c r="K1905" s="3"/>
      <c r="L1905" s="3"/>
    </row>
    <row r="1906" spans="2:12" x14ac:dyDescent="0.3">
      <c r="B1906" s="1"/>
      <c r="C1906" s="1"/>
      <c r="I1906" s="3"/>
      <c r="J1906" s="3"/>
      <c r="K1906" s="3"/>
      <c r="L1906" s="3"/>
    </row>
    <row r="1907" spans="2:12" x14ac:dyDescent="0.3">
      <c r="B1907" s="1"/>
      <c r="C1907" s="1"/>
      <c r="I1907" s="3"/>
      <c r="J1907" s="3"/>
      <c r="K1907" s="3"/>
      <c r="L1907" s="3"/>
    </row>
    <row r="1908" spans="2:12" x14ac:dyDescent="0.3">
      <c r="B1908" s="1"/>
      <c r="C1908" s="1"/>
      <c r="I1908" s="3"/>
      <c r="J1908" s="3"/>
      <c r="K1908" s="3"/>
      <c r="L1908" s="3"/>
    </row>
    <row r="1909" spans="2:12" x14ac:dyDescent="0.3">
      <c r="B1909" s="1"/>
      <c r="C1909" s="1"/>
      <c r="I1909" s="3"/>
      <c r="J1909" s="3"/>
      <c r="K1909" s="3"/>
      <c r="L1909" s="3"/>
    </row>
    <row r="1910" spans="2:12" x14ac:dyDescent="0.3">
      <c r="B1910" s="1"/>
      <c r="C1910" s="1"/>
      <c r="I1910" s="3"/>
      <c r="J1910" s="3"/>
      <c r="K1910" s="3"/>
      <c r="L1910" s="3"/>
    </row>
    <row r="1911" spans="2:12" x14ac:dyDescent="0.3">
      <c r="B1911" s="1"/>
      <c r="C1911" s="1"/>
      <c r="I1911" s="3"/>
      <c r="J1911" s="3"/>
      <c r="K1911" s="3"/>
      <c r="L1911" s="3"/>
    </row>
    <row r="1912" spans="2:12" x14ac:dyDescent="0.3">
      <c r="B1912" s="1"/>
      <c r="C1912" s="1"/>
      <c r="I1912" s="3"/>
      <c r="J1912" s="3"/>
      <c r="K1912" s="3"/>
      <c r="L1912" s="3"/>
    </row>
    <row r="1913" spans="2:12" x14ac:dyDescent="0.3">
      <c r="B1913" s="1"/>
      <c r="C1913" s="1"/>
      <c r="I1913" s="3"/>
      <c r="J1913" s="3"/>
      <c r="K1913" s="3"/>
      <c r="L1913" s="3"/>
    </row>
    <row r="1914" spans="2:12" x14ac:dyDescent="0.3">
      <c r="B1914" s="1"/>
      <c r="C1914" s="1"/>
      <c r="I1914" s="3"/>
      <c r="J1914" s="3"/>
      <c r="K1914" s="3"/>
      <c r="L1914" s="3"/>
    </row>
    <row r="1915" spans="2:12" x14ac:dyDescent="0.3">
      <c r="B1915" s="1"/>
      <c r="C1915" s="1"/>
      <c r="I1915" s="3"/>
      <c r="J1915" s="3"/>
      <c r="K1915" s="3"/>
      <c r="L1915" s="3"/>
    </row>
    <row r="1916" spans="2:12" x14ac:dyDescent="0.3">
      <c r="B1916" s="1"/>
      <c r="C1916" s="1"/>
      <c r="I1916" s="3"/>
      <c r="J1916" s="3"/>
      <c r="K1916" s="3"/>
      <c r="L1916" s="3"/>
    </row>
    <row r="1917" spans="2:12" x14ac:dyDescent="0.3">
      <c r="B1917" s="1"/>
      <c r="C1917" s="1"/>
      <c r="I1917" s="3"/>
      <c r="J1917" s="3"/>
      <c r="K1917" s="3"/>
      <c r="L1917" s="3"/>
    </row>
    <row r="1918" spans="2:12" x14ac:dyDescent="0.3">
      <c r="B1918" s="1"/>
      <c r="C1918" s="1"/>
      <c r="I1918" s="3"/>
      <c r="J1918" s="3"/>
      <c r="K1918" s="3"/>
      <c r="L1918" s="3"/>
    </row>
    <row r="1919" spans="2:12" x14ac:dyDescent="0.3">
      <c r="B1919" s="1"/>
      <c r="C1919" s="1"/>
      <c r="I1919" s="3"/>
      <c r="J1919" s="3"/>
      <c r="K1919" s="3"/>
      <c r="L1919" s="3"/>
    </row>
    <row r="1920" spans="2:12" x14ac:dyDescent="0.3">
      <c r="B1920" s="1"/>
      <c r="C1920" s="1"/>
      <c r="I1920" s="3"/>
      <c r="J1920" s="3"/>
      <c r="K1920" s="3"/>
      <c r="L1920" s="3"/>
    </row>
    <row r="1921" spans="2:12" x14ac:dyDescent="0.3">
      <c r="B1921" s="1"/>
      <c r="C1921" s="1"/>
      <c r="I1921" s="3"/>
      <c r="J1921" s="3"/>
      <c r="K1921" s="3"/>
      <c r="L1921" s="3"/>
    </row>
    <row r="1922" spans="2:12" x14ac:dyDescent="0.3">
      <c r="B1922" s="1"/>
      <c r="C1922" s="1"/>
      <c r="I1922" s="3"/>
      <c r="J1922" s="3"/>
      <c r="K1922" s="3"/>
      <c r="L1922" s="3"/>
    </row>
    <row r="1923" spans="2:12" x14ac:dyDescent="0.3">
      <c r="B1923" s="1"/>
      <c r="C1923" s="1"/>
      <c r="I1923" s="3"/>
      <c r="J1923" s="3"/>
      <c r="K1923" s="3"/>
      <c r="L1923" s="3"/>
    </row>
    <row r="1924" spans="2:12" x14ac:dyDescent="0.3">
      <c r="B1924" s="1"/>
      <c r="C1924" s="1"/>
      <c r="I1924" s="3"/>
      <c r="J1924" s="3"/>
      <c r="K1924" s="3"/>
      <c r="L1924" s="3"/>
    </row>
    <row r="1925" spans="2:12" x14ac:dyDescent="0.3">
      <c r="B1925" s="1"/>
      <c r="C1925" s="1"/>
      <c r="I1925" s="3"/>
      <c r="J1925" s="3"/>
      <c r="K1925" s="3"/>
      <c r="L1925" s="3"/>
    </row>
    <row r="1926" spans="2:12" x14ac:dyDescent="0.3">
      <c r="B1926" s="1"/>
      <c r="C1926" s="1"/>
      <c r="I1926" s="3"/>
      <c r="J1926" s="3"/>
      <c r="K1926" s="3"/>
      <c r="L1926" s="3"/>
    </row>
    <row r="1927" spans="2:12" x14ac:dyDescent="0.3">
      <c r="B1927" s="1"/>
      <c r="C1927" s="1"/>
      <c r="I1927" s="3"/>
      <c r="J1927" s="3"/>
      <c r="K1927" s="3"/>
      <c r="L1927" s="3"/>
    </row>
    <row r="1928" spans="2:12" x14ac:dyDescent="0.3">
      <c r="B1928" s="1"/>
      <c r="C1928" s="1"/>
      <c r="I1928" s="3"/>
      <c r="J1928" s="3"/>
      <c r="K1928" s="3"/>
      <c r="L1928" s="3"/>
    </row>
    <row r="1929" spans="2:12" x14ac:dyDescent="0.3">
      <c r="B1929" s="1"/>
      <c r="C1929" s="1"/>
      <c r="I1929" s="3"/>
      <c r="J1929" s="3"/>
      <c r="K1929" s="3"/>
      <c r="L1929" s="3"/>
    </row>
    <row r="1930" spans="2:12" x14ac:dyDescent="0.3">
      <c r="B1930" s="1"/>
      <c r="C1930" s="1"/>
      <c r="I1930" s="3"/>
      <c r="J1930" s="3"/>
      <c r="K1930" s="3"/>
      <c r="L1930" s="3"/>
    </row>
    <row r="1931" spans="2:12" x14ac:dyDescent="0.3">
      <c r="B1931" s="1"/>
      <c r="C1931" s="1"/>
      <c r="I1931" s="3"/>
      <c r="J1931" s="3"/>
      <c r="K1931" s="3"/>
      <c r="L1931" s="3"/>
    </row>
    <row r="1932" spans="2:12" x14ac:dyDescent="0.3">
      <c r="B1932" s="1"/>
      <c r="C1932" s="1"/>
      <c r="I1932" s="3"/>
      <c r="J1932" s="3"/>
      <c r="K1932" s="3"/>
      <c r="L1932" s="3"/>
    </row>
    <row r="1933" spans="2:12" x14ac:dyDescent="0.3">
      <c r="B1933" s="1"/>
      <c r="C1933" s="1"/>
      <c r="I1933" s="3"/>
      <c r="J1933" s="3"/>
      <c r="K1933" s="3"/>
      <c r="L1933" s="3"/>
    </row>
    <row r="1934" spans="2:12" x14ac:dyDescent="0.3">
      <c r="B1934" s="1"/>
      <c r="C1934" s="1"/>
      <c r="I1934" s="3"/>
      <c r="J1934" s="3"/>
      <c r="K1934" s="3"/>
      <c r="L1934" s="3"/>
    </row>
    <row r="1935" spans="2:12" x14ac:dyDescent="0.3">
      <c r="B1935" s="1"/>
      <c r="C1935" s="1"/>
      <c r="I1935" s="3"/>
      <c r="J1935" s="3"/>
      <c r="K1935" s="3"/>
      <c r="L1935" s="3"/>
    </row>
    <row r="1936" spans="2:12" x14ac:dyDescent="0.3">
      <c r="B1936" s="1"/>
      <c r="C1936" s="1"/>
      <c r="I1936" s="3"/>
      <c r="J1936" s="3"/>
      <c r="K1936" s="3"/>
      <c r="L1936" s="3"/>
    </row>
    <row r="1937" spans="2:12" x14ac:dyDescent="0.3">
      <c r="B1937" s="1"/>
      <c r="C1937" s="1"/>
      <c r="I1937" s="3"/>
      <c r="J1937" s="3"/>
      <c r="K1937" s="3"/>
      <c r="L1937" s="3"/>
    </row>
    <row r="1938" spans="2:12" x14ac:dyDescent="0.3">
      <c r="B1938" s="1"/>
      <c r="C1938" s="1"/>
      <c r="I1938" s="3"/>
      <c r="J1938" s="3"/>
      <c r="K1938" s="3"/>
      <c r="L1938" s="3"/>
    </row>
    <row r="1939" spans="2:12" x14ac:dyDescent="0.3">
      <c r="B1939" s="1"/>
      <c r="C1939" s="1"/>
      <c r="I1939" s="3"/>
      <c r="J1939" s="3"/>
      <c r="K1939" s="3"/>
      <c r="L1939" s="3"/>
    </row>
    <row r="1940" spans="2:12" x14ac:dyDescent="0.3">
      <c r="B1940" s="1"/>
      <c r="C1940" s="1"/>
      <c r="I1940" s="3"/>
      <c r="J1940" s="3"/>
      <c r="K1940" s="3"/>
      <c r="L1940" s="3"/>
    </row>
    <row r="1941" spans="2:12" x14ac:dyDescent="0.3">
      <c r="B1941" s="1"/>
      <c r="C1941" s="1"/>
      <c r="I1941" s="3"/>
      <c r="J1941" s="3"/>
      <c r="K1941" s="3"/>
      <c r="L1941" s="3"/>
    </row>
    <row r="1942" spans="2:12" x14ac:dyDescent="0.3">
      <c r="B1942" s="1"/>
      <c r="C1942" s="1"/>
      <c r="I1942" s="3"/>
      <c r="J1942" s="3"/>
      <c r="K1942" s="3"/>
      <c r="L1942" s="3"/>
    </row>
    <row r="1943" spans="2:12" x14ac:dyDescent="0.3">
      <c r="B1943" s="1"/>
      <c r="C1943" s="1"/>
      <c r="I1943" s="3"/>
      <c r="J1943" s="3"/>
      <c r="K1943" s="3"/>
      <c r="L1943" s="3"/>
    </row>
    <row r="1944" spans="2:12" x14ac:dyDescent="0.3">
      <c r="B1944" s="1"/>
      <c r="C1944" s="1"/>
      <c r="I1944" s="3"/>
      <c r="J1944" s="3"/>
      <c r="K1944" s="3"/>
      <c r="L1944" s="3"/>
    </row>
    <row r="1945" spans="2:12" x14ac:dyDescent="0.3">
      <c r="B1945" s="1"/>
      <c r="C1945" s="1"/>
      <c r="I1945" s="3"/>
      <c r="J1945" s="3"/>
      <c r="K1945" s="3"/>
      <c r="L1945" s="3"/>
    </row>
    <row r="1946" spans="2:12" x14ac:dyDescent="0.3">
      <c r="B1946" s="1"/>
      <c r="C1946" s="1"/>
      <c r="I1946" s="3"/>
      <c r="J1946" s="3"/>
      <c r="K1946" s="3"/>
      <c r="L1946" s="3"/>
    </row>
    <row r="1947" spans="2:12" x14ac:dyDescent="0.3">
      <c r="B1947" s="1"/>
      <c r="C1947" s="1"/>
      <c r="I1947" s="3"/>
      <c r="J1947" s="3"/>
      <c r="K1947" s="3"/>
      <c r="L1947" s="3"/>
    </row>
    <row r="1948" spans="2:12" x14ac:dyDescent="0.3">
      <c r="B1948" s="1"/>
      <c r="C1948" s="1"/>
      <c r="I1948" s="3"/>
      <c r="J1948" s="3"/>
      <c r="K1948" s="3"/>
      <c r="L1948" s="3"/>
    </row>
    <row r="1949" spans="2:12" x14ac:dyDescent="0.3">
      <c r="B1949" s="1"/>
      <c r="C1949" s="1"/>
      <c r="I1949" s="3"/>
      <c r="J1949" s="3"/>
      <c r="K1949" s="3"/>
      <c r="L1949" s="3"/>
    </row>
    <row r="1950" spans="2:12" x14ac:dyDescent="0.3">
      <c r="B1950" s="1"/>
      <c r="C1950" s="1"/>
      <c r="I1950" s="3"/>
      <c r="J1950" s="3"/>
      <c r="K1950" s="3"/>
      <c r="L1950" s="3"/>
    </row>
    <row r="1951" spans="2:12" x14ac:dyDescent="0.3">
      <c r="B1951" s="1"/>
      <c r="C1951" s="1"/>
      <c r="I1951" s="3"/>
      <c r="J1951" s="3"/>
      <c r="K1951" s="3"/>
      <c r="L1951" s="3"/>
    </row>
    <row r="1952" spans="2:12" x14ac:dyDescent="0.3">
      <c r="B1952" s="1"/>
      <c r="C1952" s="1"/>
      <c r="I1952" s="3"/>
      <c r="J1952" s="3"/>
      <c r="K1952" s="3"/>
      <c r="L1952" s="3"/>
    </row>
    <row r="1953" spans="2:12" x14ac:dyDescent="0.3">
      <c r="B1953" s="1"/>
      <c r="C1953" s="1"/>
      <c r="I1953" s="3"/>
      <c r="J1953" s="3"/>
      <c r="K1953" s="3"/>
      <c r="L1953" s="3"/>
    </row>
    <row r="1954" spans="2:12" x14ac:dyDescent="0.3">
      <c r="B1954" s="1"/>
      <c r="C1954" s="1"/>
      <c r="I1954" s="3"/>
      <c r="J1954" s="3"/>
      <c r="K1954" s="3"/>
      <c r="L1954" s="3"/>
    </row>
    <row r="1955" spans="2:12" x14ac:dyDescent="0.3">
      <c r="B1955" s="1"/>
      <c r="C1955" s="1"/>
      <c r="I1955" s="3"/>
      <c r="J1955" s="3"/>
      <c r="K1955" s="3"/>
      <c r="L1955" s="3"/>
    </row>
    <row r="1956" spans="2:12" x14ac:dyDescent="0.3">
      <c r="B1956" s="1"/>
      <c r="C1956" s="1"/>
      <c r="I1956" s="3"/>
      <c r="J1956" s="3"/>
      <c r="K1956" s="3"/>
      <c r="L1956" s="3"/>
    </row>
    <row r="1957" spans="2:12" x14ac:dyDescent="0.3">
      <c r="B1957" s="1"/>
      <c r="C1957" s="1"/>
      <c r="I1957" s="3"/>
      <c r="J1957" s="3"/>
      <c r="K1957" s="3"/>
      <c r="L1957" s="3"/>
    </row>
    <row r="1958" spans="2:12" x14ac:dyDescent="0.3">
      <c r="B1958" s="1"/>
      <c r="C1958" s="1"/>
      <c r="I1958" s="3"/>
      <c r="J1958" s="3"/>
      <c r="K1958" s="3"/>
      <c r="L1958" s="3"/>
    </row>
    <row r="1959" spans="2:12" x14ac:dyDescent="0.3">
      <c r="B1959" s="1"/>
      <c r="C1959" s="1"/>
      <c r="I1959" s="3"/>
      <c r="J1959" s="3"/>
      <c r="K1959" s="3"/>
      <c r="L1959" s="3"/>
    </row>
    <row r="1960" spans="2:12" x14ac:dyDescent="0.3">
      <c r="B1960" s="1"/>
      <c r="C1960" s="1"/>
      <c r="I1960" s="3"/>
      <c r="J1960" s="3"/>
      <c r="K1960" s="3"/>
      <c r="L1960" s="3"/>
    </row>
    <row r="1961" spans="2:12" x14ac:dyDescent="0.3">
      <c r="B1961" s="1"/>
      <c r="C1961" s="1"/>
      <c r="I1961" s="3"/>
      <c r="J1961" s="3"/>
      <c r="K1961" s="3"/>
      <c r="L1961" s="3"/>
    </row>
    <row r="1962" spans="2:12" x14ac:dyDescent="0.3">
      <c r="B1962" s="1"/>
      <c r="C1962" s="1"/>
      <c r="I1962" s="3"/>
      <c r="J1962" s="3"/>
      <c r="K1962" s="3"/>
      <c r="L1962" s="3"/>
    </row>
    <row r="1963" spans="2:12" x14ac:dyDescent="0.3">
      <c r="B1963" s="1"/>
      <c r="C1963" s="1"/>
      <c r="I1963" s="3"/>
      <c r="J1963" s="3"/>
      <c r="K1963" s="3"/>
      <c r="L1963" s="3"/>
    </row>
    <row r="1964" spans="2:12" x14ac:dyDescent="0.3">
      <c r="B1964" s="1"/>
      <c r="C1964" s="1"/>
      <c r="I1964" s="3"/>
      <c r="J1964" s="3"/>
      <c r="K1964" s="3"/>
      <c r="L1964" s="3"/>
    </row>
    <row r="1965" spans="2:12" x14ac:dyDescent="0.3">
      <c r="B1965" s="1"/>
      <c r="C1965" s="1"/>
      <c r="I1965" s="3"/>
      <c r="J1965" s="3"/>
      <c r="K1965" s="3"/>
      <c r="L1965" s="3"/>
    </row>
    <row r="1966" spans="2:12" x14ac:dyDescent="0.3">
      <c r="B1966" s="1"/>
      <c r="C1966" s="1"/>
      <c r="I1966" s="3"/>
      <c r="J1966" s="3"/>
      <c r="K1966" s="3"/>
      <c r="L1966" s="3"/>
    </row>
    <row r="1967" spans="2:12" x14ac:dyDescent="0.3">
      <c r="B1967" s="1"/>
      <c r="C1967" s="1"/>
      <c r="I1967" s="3"/>
      <c r="J1967" s="3"/>
      <c r="K1967" s="3"/>
      <c r="L1967" s="3"/>
    </row>
    <row r="1968" spans="2:12" x14ac:dyDescent="0.3">
      <c r="B1968" s="1"/>
      <c r="C1968" s="1"/>
      <c r="I1968" s="3"/>
      <c r="J1968" s="3"/>
      <c r="K1968" s="3"/>
      <c r="L1968" s="3"/>
    </row>
    <row r="1969" spans="2:12" x14ac:dyDescent="0.3">
      <c r="B1969" s="1"/>
      <c r="C1969" s="1"/>
      <c r="I1969" s="3"/>
      <c r="J1969" s="3"/>
      <c r="K1969" s="3"/>
      <c r="L1969" s="3"/>
    </row>
    <row r="1970" spans="2:12" x14ac:dyDescent="0.3">
      <c r="B1970" s="1"/>
      <c r="C1970" s="1"/>
      <c r="I1970" s="3"/>
      <c r="J1970" s="3"/>
      <c r="K1970" s="3"/>
      <c r="L1970" s="3"/>
    </row>
    <row r="1971" spans="2:12" x14ac:dyDescent="0.3">
      <c r="B1971" s="1"/>
      <c r="C1971" s="1"/>
      <c r="I1971" s="3"/>
      <c r="J1971" s="3"/>
      <c r="K1971" s="3"/>
      <c r="L1971" s="3"/>
    </row>
    <row r="1972" spans="2:12" x14ac:dyDescent="0.3">
      <c r="B1972" s="1"/>
      <c r="C1972" s="1"/>
      <c r="I1972" s="3"/>
      <c r="J1972" s="3"/>
      <c r="K1972" s="3"/>
      <c r="L1972" s="3"/>
    </row>
    <row r="1973" spans="2:12" x14ac:dyDescent="0.3">
      <c r="B1973" s="1"/>
      <c r="C1973" s="1"/>
      <c r="I1973" s="3"/>
      <c r="J1973" s="3"/>
      <c r="K1973" s="3"/>
      <c r="L1973" s="3"/>
    </row>
    <row r="1974" spans="2:12" x14ac:dyDescent="0.3">
      <c r="B1974" s="1"/>
      <c r="C1974" s="1"/>
      <c r="I1974" s="3"/>
      <c r="J1974" s="3"/>
      <c r="K1974" s="3"/>
      <c r="L1974" s="3"/>
    </row>
    <row r="1975" spans="2:12" x14ac:dyDescent="0.3">
      <c r="B1975" s="1"/>
      <c r="C1975" s="1"/>
      <c r="I1975" s="3"/>
      <c r="J1975" s="3"/>
      <c r="K1975" s="3"/>
      <c r="L1975" s="3"/>
    </row>
    <row r="1976" spans="2:12" x14ac:dyDescent="0.3">
      <c r="B1976" s="1"/>
      <c r="C1976" s="1"/>
      <c r="I1976" s="3"/>
      <c r="J1976" s="3"/>
      <c r="K1976" s="3"/>
      <c r="L1976" s="3"/>
    </row>
    <row r="1977" spans="2:12" x14ac:dyDescent="0.3">
      <c r="B1977" s="1"/>
      <c r="C1977" s="1"/>
      <c r="I1977" s="3"/>
      <c r="J1977" s="3"/>
      <c r="K1977" s="3"/>
      <c r="L1977" s="3"/>
    </row>
    <row r="1978" spans="2:12" x14ac:dyDescent="0.3">
      <c r="B1978" s="1"/>
      <c r="C1978" s="1"/>
      <c r="I1978" s="3"/>
      <c r="J1978" s="3"/>
      <c r="K1978" s="3"/>
      <c r="L1978" s="3"/>
    </row>
    <row r="1979" spans="2:12" x14ac:dyDescent="0.3">
      <c r="B1979" s="1"/>
      <c r="C1979" s="1"/>
      <c r="I1979" s="3"/>
      <c r="J1979" s="3"/>
      <c r="K1979" s="3"/>
      <c r="L1979" s="3"/>
    </row>
    <row r="1980" spans="2:12" x14ac:dyDescent="0.3">
      <c r="B1980" s="1"/>
      <c r="C1980" s="1"/>
      <c r="I1980" s="3"/>
      <c r="J1980" s="3"/>
      <c r="K1980" s="3"/>
      <c r="L1980" s="3"/>
    </row>
    <row r="1981" spans="2:12" x14ac:dyDescent="0.3">
      <c r="B1981" s="1"/>
      <c r="C1981" s="1"/>
      <c r="I1981" s="3"/>
      <c r="J1981" s="3"/>
      <c r="K1981" s="3"/>
      <c r="L1981" s="3"/>
    </row>
    <row r="1982" spans="2:12" x14ac:dyDescent="0.3">
      <c r="B1982" s="1"/>
      <c r="C1982" s="1"/>
      <c r="I1982" s="3"/>
      <c r="J1982" s="3"/>
      <c r="K1982" s="3"/>
      <c r="L1982" s="3"/>
    </row>
    <row r="1983" spans="2:12" x14ac:dyDescent="0.3">
      <c r="B1983" s="1"/>
      <c r="C1983" s="1"/>
      <c r="I1983" s="3"/>
      <c r="J1983" s="3"/>
      <c r="K1983" s="3"/>
      <c r="L1983" s="3"/>
    </row>
    <row r="1984" spans="2:12" x14ac:dyDescent="0.3">
      <c r="B1984" s="1"/>
      <c r="C1984" s="1"/>
      <c r="I1984" s="3"/>
      <c r="J1984" s="3"/>
      <c r="K1984" s="3"/>
      <c r="L1984" s="3"/>
    </row>
    <row r="1985" spans="2:12" x14ac:dyDescent="0.3">
      <c r="B1985" s="1"/>
      <c r="C1985" s="1"/>
      <c r="I1985" s="3"/>
      <c r="J1985" s="3"/>
      <c r="K1985" s="3"/>
      <c r="L1985" s="3"/>
    </row>
    <row r="1986" spans="2:12" x14ac:dyDescent="0.3">
      <c r="B1986" s="1"/>
      <c r="C1986" s="1"/>
      <c r="I1986" s="3"/>
      <c r="J1986" s="3"/>
      <c r="K1986" s="3"/>
      <c r="L1986" s="3"/>
    </row>
    <row r="1987" spans="2:12" x14ac:dyDescent="0.3">
      <c r="B1987" s="1"/>
      <c r="C1987" s="1"/>
      <c r="I1987" s="3"/>
      <c r="J1987" s="3"/>
      <c r="K1987" s="3"/>
      <c r="L1987" s="3"/>
    </row>
    <row r="1988" spans="2:12" x14ac:dyDescent="0.3">
      <c r="B1988" s="1"/>
      <c r="C1988" s="1"/>
      <c r="I1988" s="3"/>
      <c r="J1988" s="3"/>
      <c r="K1988" s="3"/>
      <c r="L1988" s="3"/>
    </row>
    <row r="1989" spans="2:12" x14ac:dyDescent="0.3">
      <c r="B1989" s="1"/>
      <c r="C1989" s="1"/>
      <c r="I1989" s="3"/>
      <c r="J1989" s="3"/>
      <c r="K1989" s="3"/>
      <c r="L1989" s="3"/>
    </row>
    <row r="1990" spans="2:12" x14ac:dyDescent="0.3">
      <c r="B1990" s="1"/>
      <c r="C1990" s="1"/>
      <c r="I1990" s="3"/>
      <c r="J1990" s="3"/>
      <c r="K1990" s="3"/>
      <c r="L1990" s="3"/>
    </row>
    <row r="1991" spans="2:12" x14ac:dyDescent="0.3">
      <c r="B1991" s="1"/>
      <c r="C1991" s="1"/>
      <c r="I1991" s="3"/>
      <c r="J1991" s="3"/>
      <c r="K1991" s="3"/>
      <c r="L1991" s="3"/>
    </row>
    <row r="1992" spans="2:12" x14ac:dyDescent="0.3">
      <c r="B1992" s="1"/>
      <c r="C1992" s="1"/>
      <c r="I1992" s="3"/>
      <c r="J1992" s="3"/>
      <c r="K1992" s="3"/>
      <c r="L1992" s="3"/>
    </row>
    <row r="1993" spans="2:12" x14ac:dyDescent="0.3">
      <c r="B1993" s="1"/>
      <c r="C1993" s="1"/>
      <c r="I1993" s="3"/>
      <c r="J1993" s="3"/>
      <c r="K1993" s="3"/>
      <c r="L1993" s="3"/>
    </row>
    <row r="1994" spans="2:12" x14ac:dyDescent="0.3">
      <c r="B1994" s="1"/>
      <c r="C1994" s="1"/>
      <c r="I1994" s="3"/>
      <c r="J1994" s="3"/>
      <c r="K1994" s="3"/>
      <c r="L1994" s="3"/>
    </row>
    <row r="1995" spans="2:12" x14ac:dyDescent="0.3">
      <c r="B1995" s="1"/>
      <c r="C1995" s="1"/>
      <c r="I1995" s="3"/>
      <c r="J1995" s="3"/>
      <c r="K1995" s="3"/>
      <c r="L1995" s="3"/>
    </row>
    <row r="1996" spans="2:12" x14ac:dyDescent="0.3">
      <c r="B1996" s="1"/>
      <c r="C1996" s="1"/>
      <c r="I1996" s="3"/>
      <c r="J1996" s="3"/>
      <c r="K1996" s="3"/>
      <c r="L1996" s="3"/>
    </row>
    <row r="1997" spans="2:12" x14ac:dyDescent="0.3">
      <c r="B1997" s="1"/>
      <c r="C1997" s="1"/>
      <c r="I1997" s="3"/>
      <c r="J1997" s="3"/>
      <c r="K1997" s="3"/>
      <c r="L1997" s="3"/>
    </row>
    <row r="1998" spans="2:12" x14ac:dyDescent="0.3">
      <c r="B1998" s="1"/>
      <c r="C1998" s="1"/>
      <c r="I1998" s="3"/>
      <c r="J1998" s="3"/>
      <c r="K1998" s="3"/>
      <c r="L1998" s="3"/>
    </row>
    <row r="1999" spans="2:12" x14ac:dyDescent="0.3">
      <c r="B1999" s="1"/>
      <c r="C1999" s="1"/>
      <c r="I1999" s="3"/>
      <c r="J1999" s="3"/>
      <c r="K1999" s="3"/>
      <c r="L1999" s="3"/>
    </row>
    <row r="2000" spans="2:12" x14ac:dyDescent="0.3">
      <c r="B2000" s="1"/>
      <c r="C2000" s="1"/>
      <c r="I2000" s="3"/>
      <c r="J2000" s="3"/>
      <c r="K2000" s="3"/>
      <c r="L2000" s="3"/>
    </row>
    <row r="2001" spans="2:12" x14ac:dyDescent="0.3">
      <c r="B2001" s="1"/>
      <c r="C2001" s="1"/>
      <c r="I2001" s="3"/>
      <c r="J2001" s="3"/>
      <c r="K2001" s="3"/>
      <c r="L2001" s="3"/>
    </row>
    <row r="2002" spans="2:12" x14ac:dyDescent="0.3">
      <c r="B2002" s="1"/>
      <c r="C2002" s="1"/>
      <c r="I2002" s="3"/>
      <c r="J2002" s="3"/>
      <c r="K2002" s="3"/>
      <c r="L2002" s="3"/>
    </row>
    <row r="2003" spans="2:12" x14ac:dyDescent="0.3">
      <c r="B2003" s="1"/>
      <c r="C2003" s="1"/>
      <c r="I2003" s="3"/>
      <c r="J2003" s="3"/>
      <c r="K2003" s="3"/>
      <c r="L2003" s="3"/>
    </row>
    <row r="2004" spans="2:12" x14ac:dyDescent="0.3">
      <c r="B2004" s="1"/>
      <c r="C2004" s="1"/>
      <c r="I2004" s="3"/>
      <c r="J2004" s="3"/>
      <c r="K2004" s="3"/>
      <c r="L2004" s="3"/>
    </row>
    <row r="2005" spans="2:12" x14ac:dyDescent="0.3">
      <c r="B2005" s="1"/>
      <c r="C2005" s="1"/>
      <c r="I2005" s="3"/>
      <c r="J2005" s="3"/>
      <c r="K2005" s="3"/>
      <c r="L2005" s="3"/>
    </row>
    <row r="2006" spans="2:12" x14ac:dyDescent="0.3">
      <c r="B2006" s="1"/>
      <c r="C2006" s="1"/>
      <c r="I2006" s="3"/>
      <c r="J2006" s="3"/>
      <c r="K2006" s="3"/>
      <c r="L2006" s="3"/>
    </row>
    <row r="2007" spans="2:12" x14ac:dyDescent="0.3">
      <c r="B2007" s="1"/>
      <c r="C2007" s="1"/>
      <c r="I2007" s="3"/>
      <c r="J2007" s="3"/>
      <c r="K2007" s="3"/>
      <c r="L2007" s="3"/>
    </row>
    <row r="2008" spans="2:12" x14ac:dyDescent="0.3">
      <c r="B2008" s="1"/>
      <c r="C2008" s="1"/>
      <c r="I2008" s="3"/>
      <c r="J2008" s="3"/>
      <c r="K2008" s="3"/>
      <c r="L2008" s="3"/>
    </row>
    <row r="2009" spans="2:12" x14ac:dyDescent="0.3">
      <c r="B2009" s="1"/>
      <c r="C2009" s="1"/>
      <c r="I2009" s="3"/>
      <c r="J2009" s="3"/>
      <c r="K2009" s="3"/>
      <c r="L2009" s="3"/>
    </row>
    <row r="2010" spans="2:12" x14ac:dyDescent="0.3">
      <c r="B2010" s="1"/>
      <c r="C2010" s="1"/>
      <c r="I2010" s="3"/>
      <c r="J2010" s="3"/>
      <c r="K2010" s="3"/>
      <c r="L2010" s="3"/>
    </row>
    <row r="2011" spans="2:12" x14ac:dyDescent="0.3">
      <c r="B2011" s="1"/>
      <c r="C2011" s="1"/>
      <c r="I2011" s="3"/>
      <c r="J2011" s="3"/>
      <c r="K2011" s="3"/>
      <c r="L2011" s="3"/>
    </row>
    <row r="2012" spans="2:12" x14ac:dyDescent="0.3">
      <c r="B2012" s="1"/>
      <c r="C2012" s="1"/>
      <c r="I2012" s="3"/>
      <c r="J2012" s="3"/>
      <c r="K2012" s="3"/>
      <c r="L2012" s="3"/>
    </row>
    <row r="2013" spans="2:12" x14ac:dyDescent="0.3">
      <c r="B2013" s="1"/>
      <c r="C2013" s="1"/>
      <c r="I2013" s="3"/>
      <c r="J2013" s="3"/>
      <c r="K2013" s="3"/>
      <c r="L2013" s="3"/>
    </row>
    <row r="2014" spans="2:12" x14ac:dyDescent="0.3">
      <c r="B2014" s="1"/>
      <c r="C2014" s="1"/>
      <c r="I2014" s="3"/>
      <c r="J2014" s="3"/>
      <c r="K2014" s="3"/>
      <c r="L2014" s="3"/>
    </row>
    <row r="2015" spans="2:12" x14ac:dyDescent="0.3">
      <c r="B2015" s="1"/>
      <c r="C2015" s="1"/>
      <c r="I2015" s="3"/>
      <c r="J2015" s="3"/>
      <c r="K2015" s="3"/>
      <c r="L2015" s="3"/>
    </row>
    <row r="2016" spans="2:12" x14ac:dyDescent="0.3">
      <c r="B2016" s="1"/>
      <c r="C2016" s="1"/>
      <c r="I2016" s="3"/>
      <c r="J2016" s="3"/>
      <c r="K2016" s="3"/>
      <c r="L2016" s="3"/>
    </row>
    <row r="2017" spans="2:12" x14ac:dyDescent="0.3">
      <c r="B2017" s="1"/>
      <c r="C2017" s="1"/>
      <c r="I2017" s="3"/>
      <c r="J2017" s="3"/>
      <c r="K2017" s="3"/>
      <c r="L2017" s="3"/>
    </row>
    <row r="2018" spans="2:12" x14ac:dyDescent="0.3">
      <c r="B2018" s="1"/>
      <c r="C2018" s="1"/>
      <c r="I2018" s="3"/>
      <c r="J2018" s="3"/>
      <c r="K2018" s="3"/>
      <c r="L2018" s="3"/>
    </row>
    <row r="2019" spans="2:12" x14ac:dyDescent="0.3">
      <c r="B2019" s="1"/>
      <c r="C2019" s="1"/>
      <c r="I2019" s="3"/>
      <c r="J2019" s="3"/>
      <c r="K2019" s="3"/>
      <c r="L2019" s="3"/>
    </row>
    <row r="2020" spans="2:12" x14ac:dyDescent="0.3">
      <c r="B2020" s="1"/>
      <c r="C2020" s="1"/>
      <c r="I2020" s="3"/>
      <c r="J2020" s="3"/>
      <c r="K2020" s="3"/>
      <c r="L2020" s="3"/>
    </row>
    <row r="2021" spans="2:12" x14ac:dyDescent="0.3">
      <c r="B2021" s="1"/>
      <c r="C2021" s="1"/>
      <c r="I2021" s="3"/>
      <c r="J2021" s="3"/>
      <c r="K2021" s="3"/>
      <c r="L2021" s="3"/>
    </row>
    <row r="2022" spans="2:12" x14ac:dyDescent="0.3">
      <c r="B2022" s="1"/>
      <c r="C2022" s="1"/>
      <c r="I2022" s="3"/>
      <c r="J2022" s="3"/>
      <c r="K2022" s="3"/>
      <c r="L2022" s="3"/>
    </row>
    <row r="2023" spans="2:12" x14ac:dyDescent="0.3">
      <c r="B2023" s="1"/>
      <c r="C2023" s="1"/>
      <c r="I2023" s="3"/>
      <c r="J2023" s="3"/>
      <c r="K2023" s="3"/>
      <c r="L2023" s="3"/>
    </row>
    <row r="2024" spans="2:12" x14ac:dyDescent="0.3">
      <c r="B2024" s="1"/>
      <c r="C2024" s="1"/>
      <c r="I2024" s="3"/>
      <c r="J2024" s="3"/>
      <c r="K2024" s="3"/>
      <c r="L2024" s="3"/>
    </row>
    <row r="2025" spans="2:12" x14ac:dyDescent="0.3">
      <c r="B2025" s="1"/>
      <c r="C2025" s="1"/>
      <c r="I2025" s="3"/>
      <c r="J2025" s="3"/>
      <c r="K2025" s="3"/>
      <c r="L2025" s="3"/>
    </row>
    <row r="2026" spans="2:12" x14ac:dyDescent="0.3">
      <c r="B2026" s="1"/>
      <c r="C2026" s="1"/>
      <c r="I2026" s="3"/>
      <c r="J2026" s="3"/>
      <c r="K2026" s="3"/>
      <c r="L2026" s="3"/>
    </row>
    <row r="2027" spans="2:12" x14ac:dyDescent="0.3">
      <c r="B2027" s="1"/>
      <c r="C2027" s="1"/>
      <c r="I2027" s="3"/>
      <c r="J2027" s="3"/>
      <c r="K2027" s="3"/>
      <c r="L2027" s="3"/>
    </row>
    <row r="2028" spans="2:12" x14ac:dyDescent="0.3">
      <c r="B2028" s="1"/>
      <c r="C2028" s="1"/>
      <c r="I2028" s="3"/>
      <c r="J2028" s="3"/>
      <c r="K2028" s="3"/>
      <c r="L2028" s="3"/>
    </row>
    <row r="2029" spans="2:12" x14ac:dyDescent="0.3">
      <c r="B2029" s="1"/>
      <c r="C2029" s="1"/>
      <c r="I2029" s="3"/>
      <c r="J2029" s="3"/>
      <c r="K2029" s="3"/>
      <c r="L2029" s="3"/>
    </row>
    <row r="2030" spans="2:12" x14ac:dyDescent="0.3">
      <c r="B2030" s="1"/>
      <c r="C2030" s="1"/>
      <c r="I2030" s="3"/>
      <c r="J2030" s="3"/>
      <c r="K2030" s="3"/>
      <c r="L2030" s="3"/>
    </row>
    <row r="2031" spans="2:12" x14ac:dyDescent="0.3">
      <c r="B2031" s="1"/>
      <c r="C2031" s="1"/>
      <c r="I2031" s="3"/>
      <c r="J2031" s="3"/>
      <c r="K2031" s="3"/>
      <c r="L2031" s="3"/>
    </row>
    <row r="2032" spans="2:12" x14ac:dyDescent="0.3">
      <c r="B2032" s="1"/>
      <c r="C2032" s="1"/>
      <c r="I2032" s="3"/>
      <c r="J2032" s="3"/>
      <c r="K2032" s="3"/>
      <c r="L2032" s="3"/>
    </row>
    <row r="2033" spans="2:12" x14ac:dyDescent="0.3">
      <c r="B2033" s="1"/>
      <c r="C2033" s="1"/>
      <c r="I2033" s="3"/>
      <c r="J2033" s="3"/>
      <c r="K2033" s="3"/>
      <c r="L2033" s="3"/>
    </row>
    <row r="2034" spans="2:12" x14ac:dyDescent="0.3">
      <c r="B2034" s="1"/>
      <c r="C2034" s="1"/>
      <c r="I2034" s="3"/>
      <c r="J2034" s="3"/>
      <c r="K2034" s="3"/>
      <c r="L2034" s="3"/>
    </row>
    <row r="2035" spans="2:12" x14ac:dyDescent="0.3">
      <c r="B2035" s="1"/>
      <c r="C2035" s="1"/>
      <c r="I2035" s="3"/>
      <c r="J2035" s="3"/>
      <c r="K2035" s="3"/>
      <c r="L2035" s="3"/>
    </row>
    <row r="2036" spans="2:12" x14ac:dyDescent="0.3">
      <c r="B2036" s="1"/>
      <c r="C2036" s="1"/>
      <c r="I2036" s="3"/>
      <c r="J2036" s="3"/>
      <c r="K2036" s="3"/>
      <c r="L2036" s="3"/>
    </row>
    <row r="2037" spans="2:12" x14ac:dyDescent="0.3">
      <c r="B2037" s="1"/>
      <c r="C2037" s="1"/>
      <c r="I2037" s="3"/>
      <c r="J2037" s="3"/>
      <c r="K2037" s="3"/>
      <c r="L2037" s="3"/>
    </row>
    <row r="2038" spans="2:12" x14ac:dyDescent="0.3">
      <c r="B2038" s="1"/>
      <c r="C2038" s="1"/>
      <c r="I2038" s="3"/>
      <c r="J2038" s="3"/>
      <c r="K2038" s="3"/>
      <c r="L2038" s="3"/>
    </row>
    <row r="2039" spans="2:12" x14ac:dyDescent="0.3">
      <c r="B2039" s="1"/>
      <c r="C2039" s="1"/>
      <c r="I2039" s="3"/>
      <c r="J2039" s="3"/>
      <c r="K2039" s="3"/>
      <c r="L2039" s="3"/>
    </row>
    <row r="2040" spans="2:12" x14ac:dyDescent="0.3">
      <c r="B2040" s="1"/>
      <c r="C2040" s="1"/>
      <c r="I2040" s="3"/>
      <c r="J2040" s="3"/>
      <c r="K2040" s="3"/>
      <c r="L2040" s="3"/>
    </row>
    <row r="2041" spans="2:12" x14ac:dyDescent="0.3">
      <c r="B2041" s="1"/>
      <c r="C2041" s="1"/>
      <c r="I2041" s="3"/>
      <c r="J2041" s="3"/>
      <c r="K2041" s="3"/>
      <c r="L2041" s="3"/>
    </row>
    <row r="2042" spans="2:12" x14ac:dyDescent="0.3">
      <c r="B2042" s="1"/>
      <c r="C2042" s="1"/>
      <c r="I2042" s="3"/>
      <c r="J2042" s="3"/>
      <c r="K2042" s="3"/>
      <c r="L2042" s="3"/>
    </row>
    <row r="2043" spans="2:12" x14ac:dyDescent="0.3">
      <c r="B2043" s="1"/>
      <c r="C2043" s="1"/>
      <c r="I2043" s="3"/>
      <c r="J2043" s="3"/>
      <c r="K2043" s="3"/>
      <c r="L2043" s="3"/>
    </row>
    <row r="2044" spans="2:12" x14ac:dyDescent="0.3">
      <c r="B2044" s="1"/>
      <c r="C2044" s="1"/>
      <c r="I2044" s="3"/>
      <c r="J2044" s="3"/>
      <c r="K2044" s="3"/>
      <c r="L2044" s="3"/>
    </row>
    <row r="2045" spans="2:12" x14ac:dyDescent="0.3">
      <c r="B2045" s="1"/>
      <c r="C2045" s="1"/>
      <c r="I2045" s="3"/>
      <c r="J2045" s="3"/>
      <c r="K2045" s="3"/>
      <c r="L2045" s="3"/>
    </row>
    <row r="2046" spans="2:12" x14ac:dyDescent="0.3">
      <c r="B2046" s="1"/>
      <c r="C2046" s="1"/>
      <c r="I2046" s="3"/>
      <c r="J2046" s="3"/>
      <c r="K2046" s="3"/>
      <c r="L2046" s="3"/>
    </row>
    <row r="2047" spans="2:12" x14ac:dyDescent="0.3">
      <c r="B2047" s="1"/>
      <c r="C2047" s="1"/>
      <c r="I2047" s="3"/>
      <c r="J2047" s="3"/>
      <c r="K2047" s="3"/>
      <c r="L2047" s="3"/>
    </row>
    <row r="2048" spans="2:12" x14ac:dyDescent="0.3">
      <c r="B2048" s="1"/>
      <c r="C2048" s="1"/>
      <c r="I2048" s="3"/>
      <c r="J2048" s="3"/>
      <c r="K2048" s="3"/>
      <c r="L2048" s="3"/>
    </row>
    <row r="2049" spans="2:12" x14ac:dyDescent="0.3">
      <c r="B2049" s="1"/>
      <c r="C2049" s="1"/>
      <c r="I2049" s="3"/>
      <c r="J2049" s="3"/>
      <c r="K2049" s="3"/>
      <c r="L2049" s="3"/>
    </row>
    <row r="2050" spans="2:12" x14ac:dyDescent="0.3">
      <c r="B2050" s="1"/>
      <c r="C2050" s="1"/>
      <c r="I2050" s="3"/>
      <c r="J2050" s="3"/>
      <c r="K2050" s="3"/>
      <c r="L2050" s="3"/>
    </row>
    <row r="2051" spans="2:12" x14ac:dyDescent="0.3">
      <c r="B2051" s="1"/>
      <c r="C2051" s="1"/>
      <c r="I2051" s="3"/>
      <c r="J2051" s="3"/>
      <c r="K2051" s="3"/>
      <c r="L2051" s="3"/>
    </row>
    <row r="2052" spans="2:12" x14ac:dyDescent="0.3">
      <c r="B2052" s="1"/>
      <c r="C2052" s="1"/>
      <c r="I2052" s="3"/>
      <c r="J2052" s="3"/>
      <c r="K2052" s="3"/>
      <c r="L2052" s="3"/>
    </row>
    <row r="2053" spans="2:12" x14ac:dyDescent="0.3">
      <c r="B2053" s="1"/>
      <c r="C2053" s="1"/>
      <c r="I2053" s="3"/>
      <c r="J2053" s="3"/>
      <c r="K2053" s="3"/>
      <c r="L2053" s="3"/>
    </row>
    <row r="2054" spans="2:12" x14ac:dyDescent="0.3">
      <c r="B2054" s="1"/>
      <c r="C2054" s="1"/>
      <c r="I2054" s="3"/>
      <c r="J2054" s="3"/>
      <c r="K2054" s="3"/>
      <c r="L2054" s="3"/>
    </row>
    <row r="2055" spans="2:12" x14ac:dyDescent="0.3">
      <c r="B2055" s="1"/>
      <c r="C2055" s="1"/>
      <c r="I2055" s="3"/>
      <c r="J2055" s="3"/>
      <c r="K2055" s="3"/>
      <c r="L2055" s="3"/>
    </row>
    <row r="2056" spans="2:12" x14ac:dyDescent="0.3">
      <c r="B2056" s="1"/>
      <c r="C2056" s="1"/>
      <c r="I2056" s="3"/>
      <c r="J2056" s="3"/>
      <c r="K2056" s="3"/>
      <c r="L2056" s="3"/>
    </row>
    <row r="2057" spans="2:12" x14ac:dyDescent="0.3">
      <c r="B2057" s="1"/>
      <c r="C2057" s="1"/>
      <c r="I2057" s="3"/>
      <c r="J2057" s="3"/>
      <c r="K2057" s="3"/>
      <c r="L2057" s="3"/>
    </row>
    <row r="2058" spans="2:12" x14ac:dyDescent="0.3">
      <c r="B2058" s="1"/>
      <c r="C2058" s="1"/>
      <c r="I2058" s="3"/>
      <c r="J2058" s="3"/>
      <c r="K2058" s="3"/>
      <c r="L2058" s="3"/>
    </row>
    <row r="2059" spans="2:12" x14ac:dyDescent="0.3">
      <c r="B2059" s="1"/>
      <c r="C2059" s="1"/>
      <c r="I2059" s="3"/>
      <c r="J2059" s="3"/>
      <c r="K2059" s="3"/>
      <c r="L2059" s="3"/>
    </row>
    <row r="2060" spans="2:12" x14ac:dyDescent="0.3">
      <c r="B2060" s="1"/>
      <c r="C2060" s="1"/>
      <c r="I2060" s="3"/>
      <c r="J2060" s="3"/>
      <c r="K2060" s="3"/>
      <c r="L2060" s="3"/>
    </row>
    <row r="2061" spans="2:12" x14ac:dyDescent="0.3">
      <c r="B2061" s="1"/>
      <c r="C2061" s="1"/>
      <c r="I2061" s="3"/>
      <c r="J2061" s="3"/>
      <c r="K2061" s="3"/>
      <c r="L2061" s="3"/>
    </row>
    <row r="2062" spans="2:12" x14ac:dyDescent="0.3">
      <c r="B2062" s="1"/>
      <c r="C2062" s="1"/>
      <c r="I2062" s="3"/>
      <c r="J2062" s="3"/>
      <c r="K2062" s="3"/>
      <c r="L2062" s="3"/>
    </row>
    <row r="2063" spans="2:12" x14ac:dyDescent="0.3">
      <c r="B2063" s="1"/>
      <c r="C2063" s="1"/>
      <c r="I2063" s="3"/>
      <c r="J2063" s="3"/>
      <c r="K2063" s="3"/>
      <c r="L2063" s="3"/>
    </row>
    <row r="2064" spans="2:12" x14ac:dyDescent="0.3">
      <c r="B2064" s="1"/>
      <c r="C2064" s="1"/>
      <c r="I2064" s="3"/>
      <c r="J2064" s="3"/>
      <c r="K2064" s="3"/>
      <c r="L2064" s="3"/>
    </row>
    <row r="2065" spans="2:12" x14ac:dyDescent="0.3">
      <c r="B2065" s="1"/>
      <c r="C2065" s="1"/>
      <c r="I2065" s="3"/>
      <c r="J2065" s="3"/>
      <c r="K2065" s="3"/>
      <c r="L2065" s="3"/>
    </row>
    <row r="2066" spans="2:12" x14ac:dyDescent="0.3">
      <c r="B2066" s="1"/>
      <c r="C2066" s="1"/>
      <c r="I2066" s="3"/>
      <c r="J2066" s="3"/>
      <c r="K2066" s="3"/>
      <c r="L2066" s="3"/>
    </row>
    <row r="2067" spans="2:12" x14ac:dyDescent="0.3">
      <c r="B2067" s="1"/>
      <c r="C2067" s="1"/>
      <c r="I2067" s="3"/>
      <c r="J2067" s="3"/>
      <c r="K2067" s="3"/>
      <c r="L2067" s="3"/>
    </row>
    <row r="2068" spans="2:12" x14ac:dyDescent="0.3">
      <c r="B2068" s="1"/>
      <c r="C2068" s="1"/>
      <c r="I2068" s="3"/>
      <c r="J2068" s="3"/>
      <c r="K2068" s="3"/>
      <c r="L2068" s="3"/>
    </row>
    <row r="2069" spans="2:12" x14ac:dyDescent="0.3">
      <c r="B2069" s="1"/>
      <c r="C2069" s="1"/>
      <c r="I2069" s="3"/>
      <c r="J2069" s="3"/>
      <c r="K2069" s="3"/>
      <c r="L2069" s="3"/>
    </row>
    <row r="2070" spans="2:12" x14ac:dyDescent="0.3">
      <c r="B2070" s="1"/>
      <c r="C2070" s="1"/>
      <c r="I2070" s="3"/>
      <c r="J2070" s="3"/>
      <c r="K2070" s="3"/>
      <c r="L2070" s="3"/>
    </row>
    <row r="2071" spans="2:12" x14ac:dyDescent="0.3">
      <c r="B2071" s="1"/>
      <c r="C2071" s="1"/>
      <c r="I2071" s="3"/>
      <c r="J2071" s="3"/>
      <c r="K2071" s="3"/>
      <c r="L2071" s="3"/>
    </row>
    <row r="2072" spans="2:12" x14ac:dyDescent="0.3">
      <c r="B2072" s="1"/>
      <c r="C2072" s="1"/>
      <c r="I2072" s="3"/>
      <c r="J2072" s="3"/>
      <c r="K2072" s="3"/>
      <c r="L2072" s="3"/>
    </row>
    <row r="2073" spans="2:12" x14ac:dyDescent="0.3">
      <c r="B2073" s="1"/>
      <c r="C2073" s="1"/>
      <c r="I2073" s="3"/>
      <c r="J2073" s="3"/>
      <c r="K2073" s="3"/>
      <c r="L2073" s="3"/>
    </row>
    <row r="2074" spans="2:12" x14ac:dyDescent="0.3">
      <c r="B2074" s="1"/>
      <c r="C2074" s="1"/>
      <c r="I2074" s="3"/>
      <c r="J2074" s="3"/>
      <c r="K2074" s="3"/>
      <c r="L2074" s="3"/>
    </row>
    <row r="2075" spans="2:12" x14ac:dyDescent="0.3">
      <c r="B2075" s="1"/>
      <c r="C2075" s="1"/>
      <c r="I2075" s="3"/>
      <c r="J2075" s="3"/>
      <c r="K2075" s="3"/>
      <c r="L2075" s="3"/>
    </row>
    <row r="2076" spans="2:12" x14ac:dyDescent="0.3">
      <c r="B2076" s="1"/>
      <c r="C2076" s="1"/>
      <c r="I2076" s="3"/>
      <c r="J2076" s="3"/>
      <c r="K2076" s="3"/>
      <c r="L2076" s="3"/>
    </row>
    <row r="2077" spans="2:12" x14ac:dyDescent="0.3">
      <c r="B2077" s="1"/>
      <c r="C2077" s="1"/>
      <c r="I2077" s="3"/>
      <c r="J2077" s="3"/>
      <c r="K2077" s="3"/>
      <c r="L2077" s="3"/>
    </row>
    <row r="2078" spans="2:12" x14ac:dyDescent="0.3">
      <c r="B2078" s="1"/>
      <c r="C2078" s="1"/>
      <c r="I2078" s="3"/>
      <c r="J2078" s="3"/>
      <c r="K2078" s="3"/>
      <c r="L2078" s="3"/>
    </row>
    <row r="2079" spans="2:12" x14ac:dyDescent="0.3">
      <c r="B2079" s="1"/>
      <c r="C2079" s="1"/>
      <c r="I2079" s="3"/>
      <c r="J2079" s="3"/>
      <c r="K2079" s="3"/>
      <c r="L2079" s="3"/>
    </row>
    <row r="2080" spans="2:12" x14ac:dyDescent="0.3">
      <c r="B2080" s="1"/>
      <c r="C2080" s="1"/>
      <c r="I2080" s="3"/>
      <c r="J2080" s="3"/>
      <c r="K2080" s="3"/>
      <c r="L2080" s="3"/>
    </row>
    <row r="2081" spans="2:12" x14ac:dyDescent="0.3">
      <c r="B2081" s="1"/>
      <c r="C2081" s="1"/>
      <c r="I2081" s="3"/>
      <c r="J2081" s="3"/>
      <c r="K2081" s="3"/>
      <c r="L2081" s="3"/>
    </row>
    <row r="2082" spans="2:12" x14ac:dyDescent="0.3">
      <c r="B2082" s="1"/>
      <c r="C2082" s="1"/>
      <c r="I2082" s="3"/>
      <c r="J2082" s="3"/>
      <c r="K2082" s="3"/>
      <c r="L2082" s="3"/>
    </row>
    <row r="2083" spans="2:12" x14ac:dyDescent="0.3">
      <c r="B2083" s="1"/>
      <c r="C2083" s="1"/>
      <c r="I2083" s="3"/>
      <c r="J2083" s="3"/>
      <c r="K2083" s="3"/>
      <c r="L2083" s="3"/>
    </row>
    <row r="2084" spans="2:12" x14ac:dyDescent="0.3">
      <c r="B2084" s="1"/>
      <c r="C2084" s="1"/>
      <c r="I2084" s="3"/>
      <c r="J2084" s="3"/>
      <c r="K2084" s="3"/>
      <c r="L2084" s="3"/>
    </row>
    <row r="2085" spans="2:12" x14ac:dyDescent="0.3">
      <c r="B2085" s="1"/>
      <c r="C2085" s="1"/>
      <c r="I2085" s="3"/>
      <c r="J2085" s="3"/>
      <c r="K2085" s="3"/>
      <c r="L2085" s="3"/>
    </row>
    <row r="2086" spans="2:12" x14ac:dyDescent="0.3">
      <c r="B2086" s="1"/>
      <c r="C2086" s="1"/>
      <c r="I2086" s="3"/>
      <c r="J2086" s="3"/>
      <c r="K2086" s="3"/>
      <c r="L2086" s="3"/>
    </row>
    <row r="2087" spans="2:12" x14ac:dyDescent="0.3">
      <c r="B2087" s="1"/>
      <c r="C2087" s="1"/>
      <c r="I2087" s="3"/>
      <c r="J2087" s="3"/>
      <c r="K2087" s="3"/>
      <c r="L2087" s="3"/>
    </row>
    <row r="2088" spans="2:12" x14ac:dyDescent="0.3">
      <c r="B2088" s="1"/>
      <c r="C2088" s="1"/>
      <c r="I2088" s="3"/>
      <c r="J2088" s="3"/>
      <c r="K2088" s="3"/>
      <c r="L2088" s="3"/>
    </row>
    <row r="2089" spans="2:12" x14ac:dyDescent="0.3">
      <c r="B2089" s="1"/>
      <c r="C2089" s="1"/>
      <c r="I2089" s="3"/>
      <c r="J2089" s="3"/>
      <c r="K2089" s="3"/>
      <c r="L2089" s="3"/>
    </row>
    <row r="2090" spans="2:12" x14ac:dyDescent="0.3">
      <c r="B2090" s="1"/>
      <c r="C2090" s="1"/>
      <c r="I2090" s="3"/>
      <c r="J2090" s="3"/>
      <c r="K2090" s="3"/>
      <c r="L2090" s="3"/>
    </row>
    <row r="2091" spans="2:12" x14ac:dyDescent="0.3">
      <c r="B2091" s="1"/>
      <c r="C2091" s="1"/>
      <c r="I2091" s="3"/>
      <c r="J2091" s="3"/>
      <c r="K2091" s="3"/>
      <c r="L2091" s="3"/>
    </row>
    <row r="2092" spans="2:12" x14ac:dyDescent="0.3">
      <c r="B2092" s="1"/>
      <c r="C2092" s="1"/>
      <c r="I2092" s="3"/>
      <c r="J2092" s="3"/>
      <c r="K2092" s="3"/>
      <c r="L2092" s="3"/>
    </row>
    <row r="2093" spans="2:12" x14ac:dyDescent="0.3">
      <c r="B2093" s="1"/>
      <c r="C2093" s="1"/>
      <c r="I2093" s="3"/>
      <c r="J2093" s="3"/>
      <c r="K2093" s="3"/>
      <c r="L2093" s="3"/>
    </row>
    <row r="2094" spans="2:12" x14ac:dyDescent="0.3">
      <c r="B2094" s="1"/>
      <c r="C2094" s="1"/>
      <c r="I2094" s="3"/>
      <c r="J2094" s="3"/>
      <c r="K2094" s="3"/>
      <c r="L2094" s="3"/>
    </row>
    <row r="2095" spans="2:12" x14ac:dyDescent="0.3">
      <c r="B2095" s="1"/>
      <c r="C2095" s="1"/>
      <c r="I2095" s="3"/>
      <c r="J2095" s="3"/>
      <c r="K2095" s="3"/>
      <c r="L2095" s="3"/>
    </row>
    <row r="2096" spans="2:12" x14ac:dyDescent="0.3">
      <c r="B2096" s="1"/>
      <c r="C2096" s="1"/>
      <c r="I2096" s="3"/>
      <c r="J2096" s="3"/>
      <c r="K2096" s="3"/>
      <c r="L2096" s="3"/>
    </row>
    <row r="2097" spans="2:12" x14ac:dyDescent="0.3">
      <c r="B2097" s="1"/>
      <c r="C2097" s="1"/>
      <c r="I2097" s="3"/>
      <c r="J2097" s="3"/>
      <c r="K2097" s="3"/>
      <c r="L2097" s="3"/>
    </row>
    <row r="2098" spans="2:12" x14ac:dyDescent="0.3">
      <c r="B2098" s="1"/>
      <c r="C2098" s="1"/>
      <c r="I2098" s="3"/>
      <c r="J2098" s="3"/>
      <c r="K2098" s="3"/>
      <c r="L2098" s="3"/>
    </row>
    <row r="2099" spans="2:12" x14ac:dyDescent="0.3">
      <c r="B2099" s="1"/>
      <c r="C2099" s="1"/>
      <c r="I2099" s="3"/>
      <c r="J2099" s="3"/>
      <c r="K2099" s="3"/>
      <c r="L2099" s="3"/>
    </row>
    <row r="2100" spans="2:12" x14ac:dyDescent="0.3">
      <c r="B2100" s="1"/>
      <c r="C2100" s="1"/>
      <c r="I2100" s="3"/>
      <c r="J2100" s="3"/>
      <c r="K2100" s="3"/>
      <c r="L2100" s="3"/>
    </row>
    <row r="2101" spans="2:12" x14ac:dyDescent="0.3">
      <c r="B2101" s="1"/>
      <c r="C2101" s="1"/>
      <c r="I2101" s="3"/>
      <c r="J2101" s="3"/>
      <c r="K2101" s="3"/>
      <c r="L2101" s="3"/>
    </row>
    <row r="2102" spans="2:12" x14ac:dyDescent="0.3">
      <c r="B2102" s="1"/>
      <c r="C2102" s="1"/>
      <c r="I2102" s="3"/>
      <c r="J2102" s="3"/>
      <c r="K2102" s="3"/>
      <c r="L2102" s="3"/>
    </row>
    <row r="2103" spans="2:12" x14ac:dyDescent="0.3">
      <c r="B2103" s="1"/>
      <c r="C2103" s="1"/>
      <c r="I2103" s="3"/>
      <c r="J2103" s="3"/>
      <c r="K2103" s="3"/>
      <c r="L2103" s="3"/>
    </row>
    <row r="2104" spans="2:12" x14ac:dyDescent="0.3">
      <c r="B2104" s="1"/>
      <c r="C2104" s="1"/>
      <c r="I2104" s="3"/>
      <c r="J2104" s="3"/>
      <c r="K2104" s="3"/>
      <c r="L2104" s="3"/>
    </row>
    <row r="2105" spans="2:12" x14ac:dyDescent="0.3">
      <c r="B2105" s="1"/>
      <c r="C2105" s="1"/>
      <c r="I2105" s="3"/>
      <c r="J2105" s="3"/>
      <c r="K2105" s="3"/>
      <c r="L2105" s="3"/>
    </row>
    <row r="2106" spans="2:12" x14ac:dyDescent="0.3">
      <c r="B2106" s="1"/>
      <c r="C2106" s="1"/>
      <c r="I2106" s="3"/>
      <c r="J2106" s="3"/>
      <c r="K2106" s="3"/>
      <c r="L2106" s="3"/>
    </row>
    <row r="2107" spans="2:12" x14ac:dyDescent="0.3">
      <c r="B2107" s="1"/>
      <c r="C2107" s="1"/>
      <c r="I2107" s="3"/>
      <c r="J2107" s="3"/>
      <c r="K2107" s="3"/>
      <c r="L2107" s="3"/>
    </row>
    <row r="2108" spans="2:12" x14ac:dyDescent="0.3">
      <c r="B2108" s="1"/>
      <c r="C2108" s="1"/>
      <c r="I2108" s="3"/>
      <c r="J2108" s="3"/>
      <c r="K2108" s="3"/>
      <c r="L2108" s="3"/>
    </row>
    <row r="2109" spans="2:12" x14ac:dyDescent="0.3">
      <c r="B2109" s="1"/>
      <c r="C2109" s="1"/>
      <c r="I2109" s="3"/>
      <c r="J2109" s="3"/>
      <c r="K2109" s="3"/>
      <c r="L2109" s="3"/>
    </row>
    <row r="2110" spans="2:12" x14ac:dyDescent="0.3">
      <c r="B2110" s="1"/>
      <c r="C2110" s="1"/>
      <c r="I2110" s="3"/>
      <c r="J2110" s="3"/>
      <c r="K2110" s="3"/>
      <c r="L2110" s="3"/>
    </row>
    <row r="2111" spans="2:12" x14ac:dyDescent="0.3">
      <c r="B2111" s="1"/>
      <c r="C2111" s="1"/>
      <c r="I2111" s="3"/>
      <c r="J2111" s="3"/>
      <c r="K2111" s="3"/>
      <c r="L2111" s="3"/>
    </row>
    <row r="2112" spans="2:12" x14ac:dyDescent="0.3">
      <c r="B2112" s="1"/>
      <c r="C2112" s="1"/>
      <c r="I2112" s="3"/>
      <c r="J2112" s="3"/>
      <c r="K2112" s="3"/>
      <c r="L2112" s="3"/>
    </row>
    <row r="2113" spans="2:12" x14ac:dyDescent="0.3">
      <c r="B2113" s="1"/>
      <c r="C2113" s="1"/>
      <c r="I2113" s="3"/>
      <c r="J2113" s="3"/>
      <c r="K2113" s="3"/>
      <c r="L2113" s="3"/>
    </row>
    <row r="2114" spans="2:12" x14ac:dyDescent="0.3">
      <c r="B2114" s="1"/>
      <c r="C2114" s="1"/>
      <c r="I2114" s="3"/>
      <c r="J2114" s="3"/>
      <c r="K2114" s="3"/>
      <c r="L2114" s="3"/>
    </row>
    <row r="2115" spans="2:12" x14ac:dyDescent="0.3">
      <c r="B2115" s="1"/>
      <c r="C2115" s="1"/>
      <c r="I2115" s="3"/>
      <c r="J2115" s="3"/>
      <c r="K2115" s="3"/>
      <c r="L2115" s="3"/>
    </row>
    <row r="2116" spans="2:12" x14ac:dyDescent="0.3">
      <c r="B2116" s="1"/>
      <c r="C2116" s="1"/>
      <c r="I2116" s="3"/>
      <c r="J2116" s="3"/>
      <c r="K2116" s="3"/>
      <c r="L2116" s="3"/>
    </row>
    <row r="2117" spans="2:12" x14ac:dyDescent="0.3">
      <c r="B2117" s="1"/>
      <c r="C2117" s="1"/>
      <c r="I2117" s="3"/>
      <c r="J2117" s="3"/>
      <c r="K2117" s="3"/>
      <c r="L2117" s="3"/>
    </row>
    <row r="2118" spans="2:12" x14ac:dyDescent="0.3">
      <c r="B2118" s="1"/>
      <c r="C2118" s="1"/>
      <c r="I2118" s="3"/>
      <c r="J2118" s="3"/>
      <c r="K2118" s="3"/>
      <c r="L2118" s="3"/>
    </row>
    <row r="2119" spans="2:12" x14ac:dyDescent="0.3">
      <c r="B2119" s="1"/>
      <c r="C2119" s="1"/>
      <c r="I2119" s="3"/>
      <c r="J2119" s="3"/>
      <c r="K2119" s="3"/>
      <c r="L2119" s="3"/>
    </row>
    <row r="2120" spans="2:12" x14ac:dyDescent="0.3">
      <c r="B2120" s="1"/>
      <c r="C2120" s="1"/>
      <c r="I2120" s="3"/>
      <c r="J2120" s="3"/>
      <c r="K2120" s="3"/>
      <c r="L2120" s="3"/>
    </row>
    <row r="2121" spans="2:12" x14ac:dyDescent="0.3">
      <c r="B2121" s="1"/>
      <c r="C2121" s="1"/>
      <c r="I2121" s="3"/>
      <c r="J2121" s="3"/>
      <c r="K2121" s="3"/>
      <c r="L2121" s="3"/>
    </row>
    <row r="2122" spans="2:12" x14ac:dyDescent="0.3">
      <c r="B2122" s="1"/>
      <c r="C2122" s="1"/>
      <c r="I2122" s="3"/>
      <c r="J2122" s="3"/>
      <c r="K2122" s="3"/>
      <c r="L2122" s="3"/>
    </row>
    <row r="2123" spans="2:12" x14ac:dyDescent="0.3">
      <c r="B2123" s="1"/>
      <c r="C2123" s="1"/>
      <c r="I2123" s="3"/>
      <c r="J2123" s="3"/>
      <c r="K2123" s="3"/>
      <c r="L2123" s="3"/>
    </row>
    <row r="2124" spans="2:12" x14ac:dyDescent="0.3">
      <c r="B2124" s="1"/>
      <c r="C2124" s="1"/>
      <c r="I2124" s="3"/>
      <c r="J2124" s="3"/>
      <c r="K2124" s="3"/>
      <c r="L2124" s="3"/>
    </row>
    <row r="2125" spans="2:12" x14ac:dyDescent="0.3">
      <c r="B2125" s="1"/>
      <c r="C2125" s="1"/>
      <c r="I2125" s="3"/>
      <c r="J2125" s="3"/>
      <c r="K2125" s="3"/>
      <c r="L2125" s="3"/>
    </row>
    <row r="2126" spans="2:12" x14ac:dyDescent="0.3">
      <c r="B2126" s="1"/>
      <c r="C2126" s="1"/>
      <c r="I2126" s="3"/>
      <c r="J2126" s="3"/>
      <c r="K2126" s="3"/>
      <c r="L2126" s="3"/>
    </row>
    <row r="2127" spans="2:12" x14ac:dyDescent="0.3">
      <c r="B2127" s="1"/>
      <c r="C2127" s="1"/>
      <c r="I2127" s="3"/>
      <c r="J2127" s="3"/>
      <c r="K2127" s="3"/>
      <c r="L2127" s="3"/>
    </row>
    <row r="2128" spans="2:12" x14ac:dyDescent="0.3">
      <c r="B2128" s="1"/>
      <c r="C2128" s="1"/>
      <c r="I2128" s="3"/>
      <c r="J2128" s="3"/>
      <c r="K2128" s="3"/>
      <c r="L2128" s="3"/>
    </row>
    <row r="2129" spans="2:12" x14ac:dyDescent="0.3">
      <c r="B2129" s="1"/>
      <c r="C2129" s="1"/>
      <c r="I2129" s="3"/>
      <c r="J2129" s="3"/>
      <c r="K2129" s="3"/>
      <c r="L2129" s="3"/>
    </row>
    <row r="2130" spans="2:12" x14ac:dyDescent="0.3">
      <c r="B2130" s="1"/>
      <c r="C2130" s="1"/>
      <c r="I2130" s="3"/>
      <c r="J2130" s="3"/>
      <c r="K2130" s="3"/>
      <c r="L2130" s="3"/>
    </row>
    <row r="2131" spans="2:12" x14ac:dyDescent="0.3">
      <c r="B2131" s="1"/>
      <c r="C2131" s="1"/>
      <c r="I2131" s="3"/>
      <c r="J2131" s="3"/>
      <c r="K2131" s="3"/>
      <c r="L2131" s="3"/>
    </row>
    <row r="2132" spans="2:12" x14ac:dyDescent="0.3">
      <c r="B2132" s="1"/>
      <c r="C2132" s="1"/>
      <c r="I2132" s="3"/>
      <c r="J2132" s="3"/>
      <c r="K2132" s="3"/>
      <c r="L2132" s="3"/>
    </row>
    <row r="2133" spans="2:12" x14ac:dyDescent="0.3">
      <c r="B2133" s="1"/>
      <c r="C2133" s="1"/>
      <c r="I2133" s="3"/>
      <c r="J2133" s="3"/>
      <c r="K2133" s="3"/>
      <c r="L2133" s="3"/>
    </row>
    <row r="2134" spans="2:12" x14ac:dyDescent="0.3">
      <c r="B2134" s="1"/>
      <c r="C2134" s="1"/>
      <c r="I2134" s="3"/>
      <c r="J2134" s="3"/>
      <c r="K2134" s="3"/>
      <c r="L2134" s="3"/>
    </row>
    <row r="2135" spans="2:12" x14ac:dyDescent="0.3">
      <c r="B2135" s="1"/>
      <c r="C2135" s="1"/>
      <c r="I2135" s="3"/>
      <c r="J2135" s="3"/>
      <c r="K2135" s="3"/>
      <c r="L2135" s="3"/>
    </row>
    <row r="2136" spans="2:12" x14ac:dyDescent="0.3">
      <c r="B2136" s="1"/>
      <c r="C2136" s="1"/>
      <c r="I2136" s="3"/>
      <c r="J2136" s="3"/>
      <c r="K2136" s="3"/>
      <c r="L2136" s="3"/>
    </row>
    <row r="2137" spans="2:12" x14ac:dyDescent="0.3">
      <c r="B2137" s="1"/>
      <c r="C2137" s="1"/>
      <c r="I2137" s="3"/>
      <c r="J2137" s="3"/>
      <c r="K2137" s="3"/>
      <c r="L2137" s="3"/>
    </row>
    <row r="2138" spans="2:12" x14ac:dyDescent="0.3">
      <c r="B2138" s="1"/>
      <c r="C2138" s="1"/>
      <c r="I2138" s="3"/>
      <c r="J2138" s="3"/>
      <c r="K2138" s="3"/>
      <c r="L2138" s="3"/>
    </row>
    <row r="2139" spans="2:12" x14ac:dyDescent="0.3">
      <c r="B2139" s="1"/>
      <c r="C2139" s="1"/>
      <c r="I2139" s="3"/>
      <c r="J2139" s="3"/>
      <c r="K2139" s="3"/>
      <c r="L2139" s="3"/>
    </row>
    <row r="2140" spans="2:12" x14ac:dyDescent="0.3">
      <c r="B2140" s="1"/>
      <c r="C2140" s="1"/>
      <c r="I2140" s="3"/>
      <c r="J2140" s="3"/>
      <c r="K2140" s="3"/>
      <c r="L2140" s="3"/>
    </row>
    <row r="2141" spans="2:12" x14ac:dyDescent="0.3">
      <c r="B2141" s="1"/>
      <c r="C2141" s="1"/>
      <c r="I2141" s="3"/>
      <c r="J2141" s="3"/>
      <c r="K2141" s="3"/>
      <c r="L2141" s="3"/>
    </row>
    <row r="2142" spans="2:12" x14ac:dyDescent="0.3">
      <c r="B2142" s="1"/>
      <c r="C2142" s="1"/>
      <c r="I2142" s="3"/>
      <c r="J2142" s="3"/>
      <c r="K2142" s="3"/>
      <c r="L2142" s="3"/>
    </row>
    <row r="2143" spans="2:12" x14ac:dyDescent="0.3">
      <c r="B2143" s="1"/>
      <c r="C2143" s="1"/>
      <c r="I2143" s="3"/>
      <c r="J2143" s="3"/>
      <c r="K2143" s="3"/>
      <c r="L2143" s="3"/>
    </row>
    <row r="2144" spans="2:12" x14ac:dyDescent="0.3">
      <c r="B2144" s="1"/>
      <c r="C2144" s="1"/>
      <c r="I2144" s="3"/>
      <c r="J2144" s="3"/>
      <c r="K2144" s="3"/>
      <c r="L2144" s="3"/>
    </row>
    <row r="2145" spans="2:12" x14ac:dyDescent="0.3">
      <c r="B2145" s="1"/>
      <c r="C2145" s="1"/>
      <c r="I2145" s="3"/>
      <c r="J2145" s="3"/>
      <c r="K2145" s="3"/>
      <c r="L2145" s="3"/>
    </row>
    <row r="2146" spans="2:12" x14ac:dyDescent="0.3">
      <c r="B2146" s="1"/>
      <c r="C2146" s="1"/>
      <c r="I2146" s="3"/>
      <c r="J2146" s="3"/>
      <c r="K2146" s="3"/>
      <c r="L2146" s="3"/>
    </row>
    <row r="2147" spans="2:12" x14ac:dyDescent="0.3">
      <c r="B2147" s="1"/>
      <c r="C2147" s="1"/>
      <c r="I2147" s="3"/>
      <c r="J2147" s="3"/>
      <c r="K2147" s="3"/>
      <c r="L2147" s="3"/>
    </row>
    <row r="2148" spans="2:12" x14ac:dyDescent="0.3">
      <c r="B2148" s="1"/>
      <c r="C2148" s="1"/>
      <c r="I2148" s="3"/>
      <c r="J2148" s="3"/>
      <c r="K2148" s="3"/>
      <c r="L2148" s="3"/>
    </row>
    <row r="2149" spans="2:12" x14ac:dyDescent="0.3">
      <c r="B2149" s="1"/>
      <c r="C2149" s="1"/>
      <c r="I2149" s="3"/>
      <c r="J2149" s="3"/>
      <c r="K2149" s="3"/>
      <c r="L2149" s="3"/>
    </row>
    <row r="2150" spans="2:12" x14ac:dyDescent="0.3">
      <c r="B2150" s="1"/>
      <c r="C2150" s="1"/>
      <c r="I2150" s="3"/>
      <c r="J2150" s="3"/>
      <c r="K2150" s="3"/>
      <c r="L2150" s="3"/>
    </row>
    <row r="2151" spans="2:12" x14ac:dyDescent="0.3">
      <c r="B2151" s="1"/>
      <c r="C2151" s="1"/>
      <c r="I2151" s="3"/>
      <c r="J2151" s="3"/>
      <c r="K2151" s="3"/>
      <c r="L2151" s="3"/>
    </row>
    <row r="2152" spans="2:12" x14ac:dyDescent="0.3">
      <c r="B2152" s="1"/>
      <c r="C2152" s="1"/>
      <c r="I2152" s="3"/>
      <c r="J2152" s="3"/>
      <c r="K2152" s="3"/>
      <c r="L2152" s="3"/>
    </row>
    <row r="2153" spans="2:12" x14ac:dyDescent="0.3">
      <c r="B2153" s="1"/>
      <c r="C2153" s="1"/>
      <c r="I2153" s="3"/>
      <c r="J2153" s="3"/>
      <c r="K2153" s="3"/>
      <c r="L2153" s="3"/>
    </row>
    <row r="2154" spans="2:12" x14ac:dyDescent="0.3">
      <c r="B2154" s="1"/>
      <c r="C2154" s="1"/>
      <c r="I2154" s="3"/>
      <c r="J2154" s="3"/>
      <c r="K2154" s="3"/>
      <c r="L2154" s="3"/>
    </row>
    <row r="2155" spans="2:12" x14ac:dyDescent="0.3">
      <c r="B2155" s="1"/>
      <c r="C2155" s="1"/>
      <c r="I2155" s="3"/>
      <c r="J2155" s="3"/>
      <c r="K2155" s="3"/>
      <c r="L2155" s="3"/>
    </row>
    <row r="2156" spans="2:12" x14ac:dyDescent="0.3">
      <c r="B2156" s="1"/>
      <c r="C2156" s="1"/>
      <c r="I2156" s="3"/>
      <c r="J2156" s="3"/>
      <c r="K2156" s="3"/>
      <c r="L2156" s="3"/>
    </row>
    <row r="2157" spans="2:12" x14ac:dyDescent="0.3">
      <c r="B2157" s="1"/>
      <c r="C2157" s="1"/>
      <c r="I2157" s="3"/>
      <c r="J2157" s="3"/>
      <c r="K2157" s="3"/>
      <c r="L2157" s="3"/>
    </row>
    <row r="2158" spans="2:12" x14ac:dyDescent="0.3">
      <c r="B2158" s="1"/>
      <c r="C2158" s="1"/>
      <c r="I2158" s="3"/>
      <c r="J2158" s="3"/>
      <c r="K2158" s="3"/>
      <c r="L2158" s="3"/>
    </row>
    <row r="2159" spans="2:12" x14ac:dyDescent="0.3">
      <c r="B2159" s="1"/>
      <c r="C2159" s="1"/>
      <c r="I2159" s="3"/>
      <c r="J2159" s="3"/>
      <c r="K2159" s="3"/>
      <c r="L2159" s="3"/>
    </row>
    <row r="2160" spans="2:12" x14ac:dyDescent="0.3">
      <c r="B2160" s="1"/>
      <c r="C2160" s="1"/>
      <c r="I2160" s="3"/>
      <c r="J2160" s="3"/>
      <c r="K2160" s="3"/>
      <c r="L2160" s="3"/>
    </row>
    <row r="2161" spans="2:12" x14ac:dyDescent="0.3">
      <c r="B2161" s="1"/>
      <c r="C2161" s="1"/>
      <c r="I2161" s="3"/>
      <c r="J2161" s="3"/>
      <c r="K2161" s="3"/>
      <c r="L2161" s="3"/>
    </row>
    <row r="2162" spans="2:12" x14ac:dyDescent="0.3">
      <c r="B2162" s="1"/>
      <c r="C2162" s="1"/>
      <c r="I2162" s="3"/>
      <c r="J2162" s="3"/>
      <c r="K2162" s="3"/>
      <c r="L2162" s="3"/>
    </row>
    <row r="2163" spans="2:12" x14ac:dyDescent="0.3">
      <c r="B2163" s="1"/>
      <c r="C2163" s="1"/>
      <c r="I2163" s="3"/>
      <c r="J2163" s="3"/>
      <c r="K2163" s="3"/>
      <c r="L2163" s="3"/>
    </row>
    <row r="2164" spans="2:12" x14ac:dyDescent="0.3">
      <c r="B2164" s="1"/>
      <c r="C2164" s="1"/>
      <c r="I2164" s="3"/>
      <c r="J2164" s="3"/>
      <c r="K2164" s="3"/>
      <c r="L2164" s="3"/>
    </row>
    <row r="2165" spans="2:12" x14ac:dyDescent="0.3">
      <c r="B2165" s="1"/>
      <c r="C2165" s="1"/>
      <c r="I2165" s="3"/>
      <c r="J2165" s="3"/>
      <c r="K2165" s="3"/>
      <c r="L2165" s="3"/>
    </row>
    <row r="2166" spans="2:12" x14ac:dyDescent="0.3">
      <c r="B2166" s="1"/>
      <c r="C2166" s="1"/>
      <c r="I2166" s="3"/>
      <c r="J2166" s="3"/>
      <c r="K2166" s="3"/>
      <c r="L2166" s="3"/>
    </row>
    <row r="2167" spans="2:12" x14ac:dyDescent="0.3">
      <c r="B2167" s="1"/>
      <c r="C2167" s="1"/>
      <c r="I2167" s="3"/>
      <c r="J2167" s="3"/>
      <c r="K2167" s="3"/>
      <c r="L2167" s="3"/>
    </row>
    <row r="2168" spans="2:12" x14ac:dyDescent="0.3">
      <c r="B2168" s="1"/>
      <c r="C2168" s="1"/>
      <c r="I2168" s="3"/>
      <c r="J2168" s="3"/>
      <c r="K2168" s="3"/>
      <c r="L2168" s="3"/>
    </row>
    <row r="2169" spans="2:12" x14ac:dyDescent="0.3">
      <c r="B2169" s="1"/>
      <c r="C2169" s="1"/>
      <c r="I2169" s="3"/>
      <c r="J2169" s="3"/>
      <c r="K2169" s="3"/>
      <c r="L2169" s="3"/>
    </row>
    <row r="2170" spans="2:12" x14ac:dyDescent="0.3">
      <c r="B2170" s="1"/>
      <c r="C2170" s="1"/>
      <c r="I2170" s="3"/>
      <c r="J2170" s="3"/>
      <c r="K2170" s="3"/>
      <c r="L2170" s="3"/>
    </row>
    <row r="2171" spans="2:12" x14ac:dyDescent="0.3">
      <c r="B2171" s="1"/>
      <c r="C2171" s="1"/>
      <c r="I2171" s="3"/>
      <c r="J2171" s="3"/>
      <c r="K2171" s="3"/>
      <c r="L2171" s="3"/>
    </row>
    <row r="2172" spans="2:12" x14ac:dyDescent="0.3">
      <c r="B2172" s="1"/>
      <c r="C2172" s="1"/>
      <c r="I2172" s="3"/>
      <c r="J2172" s="3"/>
      <c r="K2172" s="3"/>
      <c r="L2172" s="3"/>
    </row>
    <row r="2173" spans="2:12" x14ac:dyDescent="0.3">
      <c r="B2173" s="1"/>
      <c r="C2173" s="1"/>
      <c r="I2173" s="3"/>
      <c r="J2173" s="3"/>
      <c r="K2173" s="3"/>
      <c r="L2173" s="3"/>
    </row>
    <row r="2174" spans="2:12" x14ac:dyDescent="0.3">
      <c r="B2174" s="1"/>
      <c r="C2174" s="1"/>
      <c r="I2174" s="3"/>
      <c r="J2174" s="3"/>
      <c r="K2174" s="3"/>
      <c r="L2174" s="3"/>
    </row>
    <row r="2175" spans="2:12" x14ac:dyDescent="0.3">
      <c r="B2175" s="1"/>
      <c r="C2175" s="1"/>
      <c r="I2175" s="3"/>
      <c r="J2175" s="3"/>
      <c r="K2175" s="3"/>
      <c r="L2175" s="3"/>
    </row>
    <row r="2176" spans="2:12" x14ac:dyDescent="0.3">
      <c r="B2176" s="1"/>
      <c r="C2176" s="1"/>
      <c r="I2176" s="3"/>
      <c r="J2176" s="3"/>
      <c r="K2176" s="3"/>
      <c r="L2176" s="3"/>
    </row>
    <row r="2177" spans="2:12" x14ac:dyDescent="0.3">
      <c r="B2177" s="1"/>
      <c r="C2177" s="1"/>
      <c r="I2177" s="3"/>
      <c r="J2177" s="3"/>
      <c r="K2177" s="3"/>
      <c r="L2177" s="3"/>
    </row>
    <row r="2178" spans="2:12" x14ac:dyDescent="0.3">
      <c r="B2178" s="1"/>
      <c r="C2178" s="1"/>
      <c r="I2178" s="3"/>
      <c r="J2178" s="3"/>
      <c r="K2178" s="3"/>
      <c r="L2178" s="3"/>
    </row>
    <row r="2179" spans="2:12" x14ac:dyDescent="0.3">
      <c r="B2179" s="1"/>
      <c r="C2179" s="1"/>
      <c r="I2179" s="3"/>
      <c r="J2179" s="3"/>
      <c r="K2179" s="3"/>
      <c r="L2179" s="3"/>
    </row>
    <row r="2180" spans="2:12" x14ac:dyDescent="0.3">
      <c r="B2180" s="1"/>
      <c r="C2180" s="1"/>
      <c r="I2180" s="3"/>
      <c r="J2180" s="3"/>
      <c r="K2180" s="3"/>
      <c r="L2180" s="3"/>
    </row>
    <row r="2181" spans="2:12" x14ac:dyDescent="0.3">
      <c r="B2181" s="1"/>
      <c r="C2181" s="1"/>
      <c r="I2181" s="3"/>
      <c r="J2181" s="3"/>
      <c r="K2181" s="3"/>
      <c r="L2181" s="3"/>
    </row>
    <row r="2182" spans="2:12" x14ac:dyDescent="0.3">
      <c r="B2182" s="1"/>
      <c r="C2182" s="1"/>
      <c r="I2182" s="3"/>
      <c r="J2182" s="3"/>
      <c r="K2182" s="3"/>
      <c r="L2182" s="3"/>
    </row>
    <row r="2183" spans="2:12" x14ac:dyDescent="0.3">
      <c r="B2183" s="1"/>
      <c r="C2183" s="1"/>
      <c r="I2183" s="3"/>
      <c r="J2183" s="3"/>
      <c r="K2183" s="3"/>
      <c r="L2183" s="3"/>
    </row>
    <row r="2184" spans="2:12" x14ac:dyDescent="0.3">
      <c r="B2184" s="1"/>
      <c r="C2184" s="1"/>
      <c r="I2184" s="3"/>
      <c r="J2184" s="3"/>
      <c r="K2184" s="3"/>
      <c r="L2184" s="3"/>
    </row>
    <row r="2185" spans="2:12" x14ac:dyDescent="0.3">
      <c r="B2185" s="1"/>
      <c r="C2185" s="1"/>
      <c r="I2185" s="3"/>
      <c r="J2185" s="3"/>
      <c r="K2185" s="3"/>
      <c r="L2185" s="3"/>
    </row>
    <row r="2186" spans="2:12" x14ac:dyDescent="0.3">
      <c r="B2186" s="1"/>
      <c r="C2186" s="1"/>
      <c r="I2186" s="3"/>
      <c r="J2186" s="3"/>
      <c r="K2186" s="3"/>
      <c r="L2186" s="3"/>
    </row>
    <row r="2187" spans="2:12" x14ac:dyDescent="0.3">
      <c r="B2187" s="1"/>
      <c r="C2187" s="1"/>
      <c r="I2187" s="3"/>
      <c r="J2187" s="3"/>
      <c r="K2187" s="3"/>
      <c r="L2187" s="3"/>
    </row>
    <row r="2188" spans="2:12" x14ac:dyDescent="0.3">
      <c r="B2188" s="1"/>
      <c r="C2188" s="1"/>
      <c r="I2188" s="3"/>
      <c r="J2188" s="3"/>
      <c r="K2188" s="3"/>
      <c r="L2188" s="3"/>
    </row>
    <row r="2189" spans="2:12" x14ac:dyDescent="0.3">
      <c r="B2189" s="1"/>
      <c r="C2189" s="1"/>
      <c r="I2189" s="3"/>
      <c r="J2189" s="3"/>
      <c r="K2189" s="3"/>
      <c r="L2189" s="3"/>
    </row>
    <row r="2190" spans="2:12" x14ac:dyDescent="0.3">
      <c r="B2190" s="1"/>
      <c r="C2190" s="1"/>
      <c r="I2190" s="3"/>
      <c r="J2190" s="3"/>
      <c r="K2190" s="3"/>
      <c r="L2190" s="3"/>
    </row>
    <row r="2191" spans="2:12" x14ac:dyDescent="0.3">
      <c r="B2191" s="1"/>
      <c r="C2191" s="1"/>
      <c r="I2191" s="3"/>
      <c r="J2191" s="3"/>
      <c r="K2191" s="3"/>
      <c r="L2191" s="3"/>
    </row>
    <row r="2192" spans="2:12" x14ac:dyDescent="0.3">
      <c r="B2192" s="1"/>
      <c r="C2192" s="1"/>
      <c r="I2192" s="3"/>
      <c r="J2192" s="3"/>
      <c r="K2192" s="3"/>
      <c r="L2192" s="3"/>
    </row>
    <row r="2193" spans="2:12" x14ac:dyDescent="0.3">
      <c r="B2193" s="1"/>
      <c r="C2193" s="1"/>
      <c r="I2193" s="3"/>
      <c r="J2193" s="3"/>
      <c r="K2193" s="3"/>
      <c r="L2193" s="3"/>
    </row>
    <row r="2194" spans="2:12" x14ac:dyDescent="0.3">
      <c r="B2194" s="1"/>
      <c r="C2194" s="1"/>
      <c r="I2194" s="3"/>
      <c r="J2194" s="3"/>
      <c r="K2194" s="3"/>
      <c r="L2194" s="3"/>
    </row>
    <row r="2195" spans="2:12" x14ac:dyDescent="0.3">
      <c r="B2195" s="1"/>
      <c r="C2195" s="1"/>
      <c r="I2195" s="3"/>
      <c r="J2195" s="3"/>
      <c r="K2195" s="3"/>
      <c r="L2195" s="3"/>
    </row>
    <row r="2196" spans="2:12" x14ac:dyDescent="0.3">
      <c r="B2196" s="1"/>
      <c r="C2196" s="1"/>
      <c r="I2196" s="3"/>
      <c r="J2196" s="3"/>
      <c r="K2196" s="3"/>
      <c r="L2196" s="3"/>
    </row>
    <row r="2197" spans="2:12" x14ac:dyDescent="0.3">
      <c r="B2197" s="1"/>
      <c r="C2197" s="1"/>
      <c r="I2197" s="3"/>
      <c r="J2197" s="3"/>
      <c r="K2197" s="3"/>
      <c r="L2197" s="3"/>
    </row>
    <row r="2198" spans="2:12" x14ac:dyDescent="0.3">
      <c r="B2198" s="1"/>
      <c r="C2198" s="1"/>
      <c r="I2198" s="3"/>
      <c r="J2198" s="3"/>
      <c r="K2198" s="3"/>
      <c r="L2198" s="3"/>
    </row>
    <row r="2199" spans="2:12" x14ac:dyDescent="0.3">
      <c r="B2199" s="1"/>
      <c r="C2199" s="1"/>
      <c r="I2199" s="3"/>
      <c r="J2199" s="3"/>
      <c r="K2199" s="3"/>
      <c r="L2199" s="3"/>
    </row>
    <row r="2200" spans="2:12" x14ac:dyDescent="0.3">
      <c r="B2200" s="1"/>
      <c r="C2200" s="1"/>
      <c r="I2200" s="3"/>
      <c r="J2200" s="3"/>
      <c r="K2200" s="3"/>
      <c r="L2200" s="3"/>
    </row>
    <row r="2201" spans="2:12" x14ac:dyDescent="0.3">
      <c r="B2201" s="1"/>
      <c r="C2201" s="1"/>
      <c r="I2201" s="3"/>
      <c r="J2201" s="3"/>
      <c r="K2201" s="3"/>
      <c r="L2201" s="3"/>
    </row>
    <row r="2202" spans="2:12" x14ac:dyDescent="0.3">
      <c r="B2202" s="1"/>
      <c r="C2202" s="1"/>
      <c r="I2202" s="3"/>
      <c r="J2202" s="3"/>
      <c r="K2202" s="3"/>
      <c r="L2202" s="3"/>
    </row>
    <row r="2203" spans="2:12" x14ac:dyDescent="0.3">
      <c r="B2203" s="1"/>
      <c r="C2203" s="1"/>
      <c r="I2203" s="3"/>
      <c r="J2203" s="3"/>
      <c r="K2203" s="3"/>
      <c r="L2203" s="3"/>
    </row>
    <row r="2204" spans="2:12" x14ac:dyDescent="0.3">
      <c r="B2204" s="1"/>
      <c r="C2204" s="1"/>
      <c r="I2204" s="3"/>
      <c r="J2204" s="3"/>
      <c r="K2204" s="3"/>
      <c r="L2204" s="3"/>
    </row>
    <row r="2205" spans="2:12" x14ac:dyDescent="0.3">
      <c r="B2205" s="1"/>
      <c r="C2205" s="1"/>
      <c r="I2205" s="3"/>
      <c r="J2205" s="3"/>
      <c r="K2205" s="3"/>
      <c r="L2205" s="3"/>
    </row>
    <row r="2206" spans="2:12" x14ac:dyDescent="0.3">
      <c r="B2206" s="1"/>
      <c r="C2206" s="1"/>
      <c r="I2206" s="3"/>
      <c r="J2206" s="3"/>
      <c r="K2206" s="3"/>
      <c r="L2206" s="3"/>
    </row>
    <row r="2207" spans="2:12" x14ac:dyDescent="0.3">
      <c r="B2207" s="1"/>
      <c r="C2207" s="1"/>
      <c r="I2207" s="3"/>
      <c r="J2207" s="3"/>
      <c r="K2207" s="3"/>
      <c r="L2207" s="3"/>
    </row>
    <row r="2208" spans="2:12" x14ac:dyDescent="0.3">
      <c r="B2208" s="1"/>
      <c r="C2208" s="1"/>
      <c r="I2208" s="3"/>
      <c r="J2208" s="3"/>
      <c r="K2208" s="3"/>
      <c r="L2208" s="3"/>
    </row>
    <row r="2209" spans="2:12" x14ac:dyDescent="0.3">
      <c r="B2209" s="1"/>
      <c r="C2209" s="1"/>
      <c r="I2209" s="3"/>
      <c r="J2209" s="3"/>
      <c r="K2209" s="3"/>
      <c r="L2209" s="3"/>
    </row>
    <row r="2210" spans="2:12" x14ac:dyDescent="0.3">
      <c r="B2210" s="1"/>
      <c r="C2210" s="1"/>
      <c r="I2210" s="3"/>
      <c r="J2210" s="3"/>
      <c r="K2210" s="3"/>
      <c r="L2210" s="3"/>
    </row>
    <row r="2211" spans="2:12" x14ac:dyDescent="0.3">
      <c r="B2211" s="1"/>
      <c r="C2211" s="1"/>
      <c r="I2211" s="3"/>
      <c r="J2211" s="3"/>
      <c r="K2211" s="3"/>
      <c r="L2211" s="3"/>
    </row>
    <row r="2212" spans="2:12" x14ac:dyDescent="0.3">
      <c r="B2212" s="1"/>
      <c r="C2212" s="1"/>
      <c r="I2212" s="3"/>
      <c r="J2212" s="3"/>
      <c r="K2212" s="3"/>
      <c r="L2212" s="3"/>
    </row>
    <row r="2213" spans="2:12" x14ac:dyDescent="0.3">
      <c r="B2213" s="1"/>
      <c r="C2213" s="1"/>
      <c r="I2213" s="3"/>
      <c r="J2213" s="3"/>
      <c r="K2213" s="3"/>
      <c r="L2213" s="3"/>
    </row>
    <row r="2214" spans="2:12" x14ac:dyDescent="0.3">
      <c r="B2214" s="1"/>
      <c r="C2214" s="1"/>
      <c r="I2214" s="3"/>
      <c r="J2214" s="3"/>
      <c r="K2214" s="3"/>
      <c r="L2214" s="3"/>
    </row>
    <row r="2215" spans="2:12" x14ac:dyDescent="0.3">
      <c r="B2215" s="1"/>
      <c r="C2215" s="1"/>
      <c r="I2215" s="3"/>
      <c r="J2215" s="3"/>
      <c r="K2215" s="3"/>
      <c r="L2215" s="3"/>
    </row>
    <row r="2216" spans="2:12" x14ac:dyDescent="0.3">
      <c r="B2216" s="1"/>
      <c r="C2216" s="1"/>
      <c r="I2216" s="3"/>
      <c r="J2216" s="3"/>
      <c r="K2216" s="3"/>
      <c r="L2216" s="3"/>
    </row>
    <row r="2217" spans="2:12" x14ac:dyDescent="0.3">
      <c r="B2217" s="1"/>
      <c r="C2217" s="1"/>
      <c r="I2217" s="3"/>
      <c r="J2217" s="3"/>
      <c r="K2217" s="3"/>
      <c r="L2217" s="3"/>
    </row>
    <row r="2218" spans="2:12" x14ac:dyDescent="0.3">
      <c r="B2218" s="1"/>
      <c r="C2218" s="1"/>
      <c r="I2218" s="3"/>
      <c r="J2218" s="3"/>
      <c r="K2218" s="3"/>
      <c r="L2218" s="3"/>
    </row>
    <row r="2219" spans="2:12" x14ac:dyDescent="0.3">
      <c r="B2219" s="1"/>
      <c r="C2219" s="1"/>
      <c r="I2219" s="3"/>
      <c r="J2219" s="3"/>
      <c r="K2219" s="3"/>
      <c r="L2219" s="3"/>
    </row>
    <row r="2220" spans="2:12" x14ac:dyDescent="0.3">
      <c r="B2220" s="1"/>
      <c r="C2220" s="1"/>
      <c r="I2220" s="3"/>
      <c r="J2220" s="3"/>
      <c r="K2220" s="3"/>
      <c r="L2220" s="3"/>
    </row>
    <row r="2221" spans="2:12" x14ac:dyDescent="0.3">
      <c r="B2221" s="1"/>
      <c r="C2221" s="1"/>
      <c r="I2221" s="3"/>
      <c r="J2221" s="3"/>
      <c r="K2221" s="3"/>
      <c r="L2221" s="3"/>
    </row>
    <row r="2222" spans="2:12" x14ac:dyDescent="0.3">
      <c r="B2222" s="1"/>
      <c r="C2222" s="1"/>
      <c r="I2222" s="3"/>
      <c r="J2222" s="3"/>
      <c r="K2222" s="3"/>
      <c r="L2222" s="3"/>
    </row>
    <row r="2223" spans="2:12" x14ac:dyDescent="0.3">
      <c r="B2223" s="1"/>
      <c r="C2223" s="1"/>
      <c r="I2223" s="3"/>
      <c r="J2223" s="3"/>
      <c r="K2223" s="3"/>
      <c r="L2223" s="3"/>
    </row>
    <row r="2224" spans="2:12" x14ac:dyDescent="0.3">
      <c r="B2224" s="1"/>
      <c r="C2224" s="1"/>
      <c r="I2224" s="3"/>
      <c r="J2224" s="3"/>
      <c r="K2224" s="3"/>
      <c r="L2224" s="3"/>
    </row>
    <row r="2225" spans="2:12" x14ac:dyDescent="0.3">
      <c r="B2225" s="1"/>
      <c r="C2225" s="1"/>
      <c r="I2225" s="3"/>
      <c r="J2225" s="3"/>
      <c r="K2225" s="3"/>
      <c r="L2225" s="3"/>
    </row>
    <row r="2226" spans="2:12" x14ac:dyDescent="0.3">
      <c r="B2226" s="1"/>
      <c r="C2226" s="1"/>
      <c r="I2226" s="3"/>
      <c r="J2226" s="3"/>
      <c r="K2226" s="3"/>
      <c r="L2226" s="3"/>
    </row>
    <row r="2227" spans="2:12" x14ac:dyDescent="0.3">
      <c r="B2227" s="1"/>
      <c r="C2227" s="1"/>
      <c r="I2227" s="3"/>
      <c r="J2227" s="3"/>
      <c r="K2227" s="3"/>
      <c r="L2227" s="3"/>
    </row>
    <row r="2228" spans="2:12" x14ac:dyDescent="0.3">
      <c r="B2228" s="1"/>
      <c r="C2228" s="1"/>
      <c r="I2228" s="3"/>
      <c r="J2228" s="3"/>
      <c r="K2228" s="3"/>
      <c r="L2228" s="3"/>
    </row>
    <row r="2229" spans="2:12" x14ac:dyDescent="0.3">
      <c r="B2229" s="1"/>
      <c r="C2229" s="1"/>
      <c r="I2229" s="3"/>
      <c r="J2229" s="3"/>
      <c r="K2229" s="3"/>
      <c r="L2229" s="3"/>
    </row>
    <row r="2230" spans="2:12" x14ac:dyDescent="0.3">
      <c r="B2230" s="1"/>
      <c r="C2230" s="1"/>
      <c r="I2230" s="3"/>
      <c r="J2230" s="3"/>
      <c r="K2230" s="3"/>
      <c r="L2230" s="3"/>
    </row>
    <row r="2231" spans="2:12" x14ac:dyDescent="0.3">
      <c r="B2231" s="1"/>
      <c r="C2231" s="1"/>
      <c r="I2231" s="3"/>
      <c r="J2231" s="3"/>
      <c r="K2231" s="3"/>
      <c r="L2231" s="3"/>
    </row>
    <row r="2232" spans="2:12" x14ac:dyDescent="0.3">
      <c r="B2232" s="1"/>
      <c r="C2232" s="1"/>
      <c r="I2232" s="3"/>
      <c r="J2232" s="3"/>
      <c r="K2232" s="3"/>
      <c r="L2232" s="3"/>
    </row>
    <row r="2233" spans="2:12" x14ac:dyDescent="0.3">
      <c r="B2233" s="1"/>
      <c r="C2233" s="1"/>
      <c r="I2233" s="3"/>
      <c r="J2233" s="3"/>
      <c r="K2233" s="3"/>
      <c r="L2233" s="3"/>
    </row>
    <row r="2234" spans="2:12" x14ac:dyDescent="0.3">
      <c r="B2234" s="1"/>
      <c r="C2234" s="1"/>
      <c r="I2234" s="3"/>
      <c r="J2234" s="3"/>
      <c r="K2234" s="3"/>
      <c r="L2234" s="3"/>
    </row>
    <row r="2235" spans="2:12" x14ac:dyDescent="0.3">
      <c r="B2235" s="1"/>
      <c r="C2235" s="1"/>
      <c r="I2235" s="3"/>
      <c r="J2235" s="3"/>
      <c r="K2235" s="3"/>
      <c r="L2235" s="3"/>
    </row>
    <row r="2236" spans="2:12" x14ac:dyDescent="0.3">
      <c r="B2236" s="1"/>
      <c r="C2236" s="1"/>
      <c r="I2236" s="3"/>
      <c r="J2236" s="3"/>
      <c r="K2236" s="3"/>
      <c r="L2236" s="3"/>
    </row>
    <row r="2237" spans="2:12" x14ac:dyDescent="0.3">
      <c r="B2237" s="1"/>
      <c r="C2237" s="1"/>
      <c r="I2237" s="3"/>
      <c r="J2237" s="3"/>
      <c r="K2237" s="3"/>
      <c r="L2237" s="3"/>
    </row>
    <row r="2238" spans="2:12" x14ac:dyDescent="0.3">
      <c r="B2238" s="1"/>
      <c r="C2238" s="1"/>
      <c r="I2238" s="3"/>
      <c r="J2238" s="3"/>
      <c r="K2238" s="3"/>
      <c r="L2238" s="3"/>
    </row>
    <row r="2239" spans="2:12" x14ac:dyDescent="0.3">
      <c r="B2239" s="1"/>
      <c r="C2239" s="1"/>
      <c r="I2239" s="3"/>
      <c r="J2239" s="3"/>
      <c r="K2239" s="3"/>
      <c r="L2239" s="3"/>
    </row>
    <row r="2240" spans="2:12" x14ac:dyDescent="0.3">
      <c r="B2240" s="1"/>
      <c r="C2240" s="1"/>
      <c r="I2240" s="3"/>
      <c r="J2240" s="3"/>
      <c r="K2240" s="3"/>
      <c r="L2240" s="3"/>
    </row>
    <row r="2241" spans="2:12" x14ac:dyDescent="0.3">
      <c r="B2241" s="1"/>
      <c r="C2241" s="1"/>
      <c r="I2241" s="3"/>
      <c r="J2241" s="3"/>
      <c r="K2241" s="3"/>
      <c r="L2241" s="3"/>
    </row>
    <row r="2242" spans="2:12" x14ac:dyDescent="0.3">
      <c r="B2242" s="1"/>
      <c r="C2242" s="1"/>
      <c r="I2242" s="3"/>
      <c r="J2242" s="3"/>
      <c r="K2242" s="3"/>
      <c r="L2242" s="3"/>
    </row>
    <row r="2243" spans="2:12" x14ac:dyDescent="0.3">
      <c r="B2243" s="1"/>
      <c r="C2243" s="1"/>
      <c r="I2243" s="3"/>
      <c r="J2243" s="3"/>
      <c r="K2243" s="3"/>
      <c r="L2243" s="3"/>
    </row>
    <row r="2244" spans="2:12" x14ac:dyDescent="0.3">
      <c r="B2244" s="1"/>
      <c r="C2244" s="1"/>
      <c r="I2244" s="3"/>
      <c r="J2244" s="3"/>
      <c r="K2244" s="3"/>
      <c r="L2244" s="3"/>
    </row>
    <row r="2245" spans="2:12" x14ac:dyDescent="0.3">
      <c r="B2245" s="1"/>
      <c r="C2245" s="1"/>
      <c r="I2245" s="3"/>
      <c r="J2245" s="3"/>
      <c r="K2245" s="3"/>
      <c r="L2245" s="3"/>
    </row>
    <row r="2246" spans="2:12" x14ac:dyDescent="0.3">
      <c r="B2246" s="1"/>
      <c r="C2246" s="1"/>
      <c r="I2246" s="3"/>
      <c r="J2246" s="3"/>
      <c r="K2246" s="3"/>
      <c r="L2246" s="3"/>
    </row>
    <row r="2247" spans="2:12" x14ac:dyDescent="0.3">
      <c r="B2247" s="1"/>
      <c r="C2247" s="1"/>
      <c r="I2247" s="3"/>
      <c r="J2247" s="3"/>
      <c r="K2247" s="3"/>
      <c r="L2247" s="3"/>
    </row>
    <row r="2248" spans="2:12" x14ac:dyDescent="0.3">
      <c r="B2248" s="1"/>
      <c r="C2248" s="1"/>
      <c r="I2248" s="3"/>
      <c r="J2248" s="3"/>
      <c r="K2248" s="3"/>
      <c r="L2248" s="3"/>
    </row>
    <row r="2249" spans="2:12" x14ac:dyDescent="0.3">
      <c r="B2249" s="1"/>
      <c r="C2249" s="1"/>
      <c r="I2249" s="3"/>
      <c r="J2249" s="3"/>
      <c r="K2249" s="3"/>
      <c r="L2249" s="3"/>
    </row>
    <row r="2250" spans="2:12" x14ac:dyDescent="0.3">
      <c r="B2250" s="1"/>
      <c r="C2250" s="1"/>
      <c r="I2250" s="3"/>
      <c r="J2250" s="3"/>
      <c r="K2250" s="3"/>
      <c r="L2250" s="3"/>
    </row>
    <row r="2251" spans="2:12" x14ac:dyDescent="0.3">
      <c r="B2251" s="1"/>
      <c r="C2251" s="1"/>
      <c r="I2251" s="3"/>
      <c r="J2251" s="3"/>
      <c r="K2251" s="3"/>
      <c r="L2251" s="3"/>
    </row>
    <row r="2252" spans="2:12" x14ac:dyDescent="0.3">
      <c r="B2252" s="1"/>
      <c r="C2252" s="1"/>
      <c r="I2252" s="3"/>
      <c r="J2252" s="3"/>
      <c r="K2252" s="3"/>
      <c r="L2252" s="3"/>
    </row>
    <row r="2253" spans="2:12" x14ac:dyDescent="0.3">
      <c r="B2253" s="1"/>
      <c r="C2253" s="1"/>
      <c r="I2253" s="3"/>
      <c r="J2253" s="3"/>
      <c r="K2253" s="3"/>
      <c r="L2253" s="3"/>
    </row>
    <row r="2254" spans="2:12" x14ac:dyDescent="0.3">
      <c r="B2254" s="1"/>
      <c r="C2254" s="1"/>
      <c r="I2254" s="3"/>
      <c r="J2254" s="3"/>
      <c r="K2254" s="3"/>
      <c r="L2254" s="3"/>
    </row>
    <row r="2255" spans="2:12" x14ac:dyDescent="0.3">
      <c r="B2255" s="1"/>
      <c r="C2255" s="1"/>
      <c r="I2255" s="3"/>
      <c r="J2255" s="3"/>
      <c r="K2255" s="3"/>
      <c r="L2255" s="3"/>
    </row>
    <row r="2256" spans="2:12" x14ac:dyDescent="0.3">
      <c r="B2256" s="1"/>
      <c r="C2256" s="1"/>
      <c r="I2256" s="3"/>
      <c r="J2256" s="3"/>
      <c r="K2256" s="3"/>
      <c r="L2256" s="3"/>
    </row>
    <row r="2257" spans="2:12" x14ac:dyDescent="0.3">
      <c r="B2257" s="1"/>
      <c r="C2257" s="1"/>
      <c r="I2257" s="3"/>
      <c r="J2257" s="3"/>
      <c r="K2257" s="3"/>
      <c r="L2257" s="3"/>
    </row>
    <row r="2258" spans="2:12" x14ac:dyDescent="0.3">
      <c r="B2258" s="1"/>
      <c r="C2258" s="1"/>
      <c r="I2258" s="3"/>
      <c r="J2258" s="3"/>
      <c r="K2258" s="3"/>
      <c r="L2258" s="3"/>
    </row>
    <row r="2259" spans="2:12" x14ac:dyDescent="0.3">
      <c r="B2259" s="1"/>
      <c r="C2259" s="1"/>
      <c r="I2259" s="3"/>
      <c r="J2259" s="3"/>
      <c r="K2259" s="3"/>
      <c r="L2259" s="3"/>
    </row>
    <row r="2260" spans="2:12" x14ac:dyDescent="0.3">
      <c r="B2260" s="1"/>
      <c r="C2260" s="1"/>
      <c r="I2260" s="3"/>
      <c r="J2260" s="3"/>
      <c r="K2260" s="3"/>
      <c r="L2260" s="3"/>
    </row>
    <row r="2261" spans="2:12" x14ac:dyDescent="0.3">
      <c r="B2261" s="1"/>
      <c r="C2261" s="1"/>
      <c r="I2261" s="3"/>
      <c r="J2261" s="3"/>
      <c r="K2261" s="3"/>
      <c r="L2261" s="3"/>
    </row>
    <row r="2262" spans="2:12" x14ac:dyDescent="0.3">
      <c r="B2262" s="1"/>
      <c r="C2262" s="1"/>
      <c r="I2262" s="3"/>
      <c r="J2262" s="3"/>
      <c r="K2262" s="3"/>
      <c r="L2262" s="3"/>
    </row>
    <row r="2263" spans="2:12" x14ac:dyDescent="0.3">
      <c r="B2263" s="1"/>
      <c r="C2263" s="1"/>
      <c r="I2263" s="3"/>
      <c r="J2263" s="3"/>
      <c r="K2263" s="3"/>
      <c r="L2263" s="3"/>
    </row>
    <row r="2264" spans="2:12" x14ac:dyDescent="0.3">
      <c r="B2264" s="1"/>
      <c r="C2264" s="1"/>
      <c r="I2264" s="3"/>
      <c r="J2264" s="3"/>
      <c r="K2264" s="3"/>
      <c r="L2264" s="3"/>
    </row>
    <row r="2265" spans="2:12" x14ac:dyDescent="0.3">
      <c r="B2265" s="1"/>
      <c r="C2265" s="1"/>
      <c r="I2265" s="3"/>
      <c r="J2265" s="3"/>
      <c r="K2265" s="3"/>
      <c r="L2265" s="3"/>
    </row>
    <row r="2266" spans="2:12" x14ac:dyDescent="0.3">
      <c r="B2266" s="1"/>
      <c r="C2266" s="1"/>
      <c r="I2266" s="3"/>
      <c r="J2266" s="3"/>
      <c r="K2266" s="3"/>
      <c r="L2266" s="3"/>
    </row>
    <row r="2267" spans="2:12" x14ac:dyDescent="0.3">
      <c r="B2267" s="1"/>
      <c r="C2267" s="1"/>
      <c r="I2267" s="3"/>
      <c r="J2267" s="3"/>
      <c r="K2267" s="3"/>
      <c r="L2267" s="3"/>
    </row>
    <row r="2268" spans="2:12" x14ac:dyDescent="0.3">
      <c r="B2268" s="1"/>
      <c r="C2268" s="1"/>
      <c r="I2268" s="3"/>
      <c r="J2268" s="3"/>
      <c r="K2268" s="3"/>
      <c r="L2268" s="3"/>
    </row>
    <row r="2269" spans="2:12" x14ac:dyDescent="0.3">
      <c r="B2269" s="1"/>
      <c r="C2269" s="1"/>
      <c r="I2269" s="3"/>
      <c r="J2269" s="3"/>
      <c r="K2269" s="3"/>
      <c r="L2269" s="3"/>
    </row>
    <row r="2270" spans="2:12" x14ac:dyDescent="0.3">
      <c r="B2270" s="1"/>
      <c r="C2270" s="1"/>
      <c r="I2270" s="3"/>
      <c r="J2270" s="3"/>
      <c r="K2270" s="3"/>
      <c r="L2270" s="3"/>
    </row>
    <row r="2271" spans="2:12" x14ac:dyDescent="0.3">
      <c r="B2271" s="1"/>
      <c r="C2271" s="1"/>
      <c r="I2271" s="3"/>
      <c r="J2271" s="3"/>
      <c r="K2271" s="3"/>
      <c r="L2271" s="3"/>
    </row>
    <row r="2272" spans="2:12" x14ac:dyDescent="0.3">
      <c r="B2272" s="1"/>
      <c r="C2272" s="1"/>
      <c r="I2272" s="3"/>
      <c r="J2272" s="3"/>
      <c r="K2272" s="3"/>
      <c r="L2272" s="3"/>
    </row>
    <row r="2273" spans="2:12" x14ac:dyDescent="0.3">
      <c r="B2273" s="1"/>
      <c r="C2273" s="1"/>
      <c r="I2273" s="3"/>
      <c r="J2273" s="3"/>
      <c r="K2273" s="3"/>
      <c r="L2273" s="3"/>
    </row>
    <row r="2274" spans="2:12" x14ac:dyDescent="0.3">
      <c r="B2274" s="1"/>
      <c r="C2274" s="1"/>
      <c r="I2274" s="3"/>
      <c r="J2274" s="3"/>
      <c r="K2274" s="3"/>
      <c r="L2274" s="3"/>
    </row>
    <row r="2275" spans="2:12" x14ac:dyDescent="0.3">
      <c r="B2275" s="1"/>
      <c r="C2275" s="1"/>
      <c r="I2275" s="3"/>
      <c r="J2275" s="3"/>
      <c r="K2275" s="3"/>
      <c r="L2275" s="3"/>
    </row>
    <row r="2276" spans="2:12" x14ac:dyDescent="0.3">
      <c r="B2276" s="1"/>
      <c r="C2276" s="1"/>
      <c r="I2276" s="3"/>
      <c r="J2276" s="3"/>
      <c r="K2276" s="3"/>
      <c r="L2276" s="3"/>
    </row>
    <row r="2277" spans="2:12" x14ac:dyDescent="0.3">
      <c r="B2277" s="1"/>
      <c r="C2277" s="1"/>
      <c r="I2277" s="3"/>
      <c r="J2277" s="3"/>
      <c r="K2277" s="3"/>
      <c r="L2277" s="3"/>
    </row>
    <row r="2278" spans="2:12" x14ac:dyDescent="0.3">
      <c r="B2278" s="1"/>
      <c r="C2278" s="1"/>
      <c r="I2278" s="3"/>
      <c r="J2278" s="3"/>
      <c r="K2278" s="3"/>
      <c r="L2278" s="3"/>
    </row>
    <row r="2279" spans="2:12" x14ac:dyDescent="0.3">
      <c r="B2279" s="1"/>
      <c r="C2279" s="1"/>
      <c r="I2279" s="3"/>
      <c r="J2279" s="3"/>
      <c r="K2279" s="3"/>
      <c r="L2279" s="3"/>
    </row>
    <row r="2280" spans="2:12" x14ac:dyDescent="0.3">
      <c r="B2280" s="1"/>
      <c r="C2280" s="1"/>
      <c r="I2280" s="3"/>
      <c r="J2280" s="3"/>
      <c r="K2280" s="3"/>
      <c r="L2280" s="3"/>
    </row>
    <row r="2281" spans="2:12" x14ac:dyDescent="0.3">
      <c r="B2281" s="1"/>
      <c r="C2281" s="1"/>
      <c r="I2281" s="3"/>
      <c r="J2281" s="3"/>
      <c r="K2281" s="3"/>
      <c r="L2281" s="3"/>
    </row>
    <row r="2282" spans="2:12" x14ac:dyDescent="0.3">
      <c r="B2282" s="1"/>
      <c r="C2282" s="1"/>
      <c r="I2282" s="3"/>
      <c r="J2282" s="3"/>
      <c r="K2282" s="3"/>
      <c r="L2282" s="3"/>
    </row>
    <row r="2283" spans="2:12" x14ac:dyDescent="0.3">
      <c r="B2283" s="1"/>
      <c r="C2283" s="1"/>
      <c r="I2283" s="3"/>
      <c r="J2283" s="3"/>
      <c r="K2283" s="3"/>
      <c r="L2283" s="3"/>
    </row>
    <row r="2284" spans="2:12" x14ac:dyDescent="0.3">
      <c r="B2284" s="1"/>
      <c r="C2284" s="1"/>
      <c r="I2284" s="3"/>
      <c r="J2284" s="3"/>
      <c r="K2284" s="3"/>
      <c r="L2284" s="3"/>
    </row>
    <row r="2285" spans="2:12" x14ac:dyDescent="0.3">
      <c r="B2285" s="1"/>
      <c r="C2285" s="1"/>
      <c r="I2285" s="3"/>
      <c r="J2285" s="3"/>
      <c r="K2285" s="3"/>
      <c r="L2285" s="3"/>
    </row>
    <row r="2286" spans="2:12" x14ac:dyDescent="0.3">
      <c r="B2286" s="1"/>
      <c r="C2286" s="1"/>
      <c r="I2286" s="3"/>
      <c r="J2286" s="3"/>
      <c r="K2286" s="3"/>
      <c r="L2286" s="3"/>
    </row>
    <row r="2287" spans="2:12" x14ac:dyDescent="0.3">
      <c r="B2287" s="1"/>
      <c r="C2287" s="1"/>
      <c r="I2287" s="3"/>
      <c r="J2287" s="3"/>
      <c r="K2287" s="3"/>
      <c r="L2287" s="3"/>
    </row>
    <row r="2288" spans="2:12" x14ac:dyDescent="0.3">
      <c r="B2288" s="1"/>
      <c r="C2288" s="1"/>
      <c r="I2288" s="3"/>
      <c r="J2288" s="3"/>
      <c r="K2288" s="3"/>
      <c r="L2288" s="3"/>
    </row>
    <row r="2289" spans="2:12" x14ac:dyDescent="0.3">
      <c r="B2289" s="1"/>
      <c r="C2289" s="1"/>
      <c r="I2289" s="3"/>
      <c r="J2289" s="3"/>
      <c r="K2289" s="3"/>
      <c r="L2289" s="3"/>
    </row>
    <row r="2290" spans="2:12" x14ac:dyDescent="0.3">
      <c r="B2290" s="1"/>
      <c r="C2290" s="1"/>
      <c r="I2290" s="3"/>
      <c r="J2290" s="3"/>
      <c r="K2290" s="3"/>
      <c r="L2290" s="3"/>
    </row>
    <row r="2291" spans="2:12" x14ac:dyDescent="0.3">
      <c r="B2291" s="1"/>
      <c r="C2291" s="1"/>
      <c r="I2291" s="3"/>
      <c r="J2291" s="3"/>
      <c r="K2291" s="3"/>
      <c r="L2291" s="3"/>
    </row>
    <row r="2292" spans="2:12" x14ac:dyDescent="0.3">
      <c r="B2292" s="1"/>
      <c r="C2292" s="1"/>
      <c r="I2292" s="3"/>
      <c r="J2292" s="3"/>
      <c r="K2292" s="3"/>
      <c r="L2292" s="3"/>
    </row>
    <row r="2293" spans="2:12" x14ac:dyDescent="0.3">
      <c r="B2293" s="1"/>
      <c r="C2293" s="1"/>
      <c r="I2293" s="3"/>
      <c r="J2293" s="3"/>
      <c r="K2293" s="3"/>
      <c r="L2293" s="3"/>
    </row>
    <row r="2294" spans="2:12" x14ac:dyDescent="0.3">
      <c r="B2294" s="1"/>
      <c r="C2294" s="1"/>
      <c r="I2294" s="3"/>
      <c r="J2294" s="3"/>
      <c r="K2294" s="3"/>
      <c r="L2294" s="3"/>
    </row>
    <row r="2295" spans="2:12" x14ac:dyDescent="0.3">
      <c r="B2295" s="1"/>
      <c r="C2295" s="1"/>
      <c r="I2295" s="3"/>
      <c r="J2295" s="3"/>
      <c r="K2295" s="3"/>
      <c r="L2295" s="3"/>
    </row>
    <row r="2296" spans="2:12" x14ac:dyDescent="0.3">
      <c r="B2296" s="1"/>
      <c r="C2296" s="1"/>
      <c r="I2296" s="3"/>
      <c r="J2296" s="3"/>
      <c r="K2296" s="3"/>
      <c r="L2296" s="3"/>
    </row>
    <row r="2297" spans="2:12" x14ac:dyDescent="0.3">
      <c r="B2297" s="1"/>
      <c r="C2297" s="1"/>
      <c r="I2297" s="3"/>
      <c r="J2297" s="3"/>
      <c r="K2297" s="3"/>
      <c r="L2297" s="3"/>
    </row>
    <row r="2298" spans="2:12" x14ac:dyDescent="0.3">
      <c r="B2298" s="1"/>
      <c r="C2298" s="1"/>
      <c r="I2298" s="3"/>
      <c r="J2298" s="3"/>
      <c r="K2298" s="3"/>
      <c r="L2298" s="3"/>
    </row>
    <row r="2299" spans="2:12" x14ac:dyDescent="0.3">
      <c r="B2299" s="1"/>
      <c r="C2299" s="1"/>
      <c r="I2299" s="3"/>
      <c r="J2299" s="3"/>
      <c r="K2299" s="3"/>
      <c r="L2299" s="3"/>
    </row>
    <row r="2300" spans="2:12" x14ac:dyDescent="0.3">
      <c r="B2300" s="1"/>
      <c r="C2300" s="1"/>
      <c r="I2300" s="3"/>
      <c r="J2300" s="3"/>
      <c r="K2300" s="3"/>
      <c r="L2300" s="3"/>
    </row>
    <row r="2301" spans="2:12" x14ac:dyDescent="0.3">
      <c r="B2301" s="1"/>
      <c r="C2301" s="1"/>
      <c r="I2301" s="3"/>
      <c r="J2301" s="3"/>
      <c r="K2301" s="3"/>
      <c r="L2301" s="3"/>
    </row>
    <row r="2302" spans="2:12" x14ac:dyDescent="0.3">
      <c r="B2302" s="1"/>
      <c r="C2302" s="1"/>
      <c r="I2302" s="3"/>
      <c r="J2302" s="3"/>
      <c r="K2302" s="3"/>
      <c r="L2302" s="3"/>
    </row>
    <row r="2303" spans="2:12" x14ac:dyDescent="0.3">
      <c r="B2303" s="1"/>
      <c r="C2303" s="1"/>
      <c r="I2303" s="3"/>
      <c r="J2303" s="3"/>
      <c r="K2303" s="3"/>
      <c r="L2303" s="3"/>
    </row>
    <row r="2304" spans="2:12" x14ac:dyDescent="0.3">
      <c r="B2304" s="1"/>
      <c r="C2304" s="1"/>
      <c r="I2304" s="3"/>
      <c r="J2304" s="3"/>
      <c r="K2304" s="3"/>
      <c r="L2304" s="3"/>
    </row>
    <row r="2305" spans="2:12" x14ac:dyDescent="0.3">
      <c r="B2305" s="1"/>
      <c r="C2305" s="1"/>
      <c r="I2305" s="3"/>
      <c r="J2305" s="3"/>
      <c r="K2305" s="3"/>
      <c r="L2305" s="3"/>
    </row>
    <row r="2306" spans="2:12" x14ac:dyDescent="0.3">
      <c r="B2306" s="1"/>
      <c r="C2306" s="1"/>
      <c r="I2306" s="3"/>
      <c r="J2306" s="3"/>
      <c r="K2306" s="3"/>
      <c r="L2306" s="3"/>
    </row>
    <row r="2307" spans="2:12" x14ac:dyDescent="0.3">
      <c r="B2307" s="1"/>
      <c r="C2307" s="1"/>
      <c r="I2307" s="3"/>
      <c r="J2307" s="3"/>
      <c r="K2307" s="3"/>
      <c r="L2307" s="3"/>
    </row>
    <row r="2308" spans="2:12" x14ac:dyDescent="0.3">
      <c r="B2308" s="1"/>
      <c r="C2308" s="1"/>
      <c r="I2308" s="3"/>
      <c r="J2308" s="3"/>
      <c r="K2308" s="3"/>
      <c r="L2308" s="3"/>
    </row>
    <row r="2309" spans="2:12" x14ac:dyDescent="0.3">
      <c r="B2309" s="1"/>
      <c r="C2309" s="1"/>
      <c r="I2309" s="3"/>
      <c r="J2309" s="3"/>
      <c r="K2309" s="3"/>
      <c r="L2309" s="3"/>
    </row>
    <row r="2310" spans="2:12" x14ac:dyDescent="0.3">
      <c r="B2310" s="1"/>
      <c r="C2310" s="1"/>
      <c r="I2310" s="3"/>
      <c r="J2310" s="3"/>
      <c r="K2310" s="3"/>
      <c r="L2310" s="3"/>
    </row>
    <row r="2311" spans="2:12" x14ac:dyDescent="0.3">
      <c r="B2311" s="1"/>
      <c r="C2311" s="1"/>
      <c r="I2311" s="3"/>
      <c r="J2311" s="3"/>
      <c r="K2311" s="3"/>
      <c r="L2311" s="3"/>
    </row>
    <row r="2312" spans="2:12" x14ac:dyDescent="0.3">
      <c r="B2312" s="1"/>
      <c r="C2312" s="1"/>
      <c r="I2312" s="3"/>
      <c r="J2312" s="3"/>
      <c r="K2312" s="3"/>
      <c r="L2312" s="3"/>
    </row>
    <row r="2313" spans="2:12" x14ac:dyDescent="0.3">
      <c r="B2313" s="1"/>
      <c r="C2313" s="1"/>
      <c r="I2313" s="3"/>
      <c r="J2313" s="3"/>
      <c r="K2313" s="3"/>
      <c r="L2313" s="3"/>
    </row>
    <row r="2314" spans="2:12" x14ac:dyDescent="0.3">
      <c r="B2314" s="1"/>
      <c r="C2314" s="1"/>
      <c r="I2314" s="3"/>
      <c r="J2314" s="3"/>
      <c r="K2314" s="3"/>
      <c r="L2314" s="3"/>
    </row>
    <row r="2315" spans="2:12" x14ac:dyDescent="0.3">
      <c r="B2315" s="1"/>
      <c r="C2315" s="1"/>
      <c r="I2315" s="3"/>
      <c r="J2315" s="3"/>
      <c r="K2315" s="3"/>
      <c r="L2315" s="3"/>
    </row>
    <row r="2316" spans="2:12" x14ac:dyDescent="0.3">
      <c r="B2316" s="1"/>
      <c r="C2316" s="1"/>
      <c r="I2316" s="3"/>
      <c r="J2316" s="3"/>
      <c r="K2316" s="3"/>
      <c r="L2316" s="3"/>
    </row>
    <row r="2317" spans="2:12" x14ac:dyDescent="0.3">
      <c r="B2317" s="1"/>
      <c r="C2317" s="1"/>
      <c r="I2317" s="3"/>
      <c r="J2317" s="3"/>
      <c r="K2317" s="3"/>
      <c r="L2317" s="3"/>
    </row>
    <row r="2318" spans="2:12" x14ac:dyDescent="0.3">
      <c r="B2318" s="1"/>
      <c r="C2318" s="1"/>
      <c r="I2318" s="3"/>
      <c r="J2318" s="3"/>
      <c r="K2318" s="3"/>
      <c r="L2318" s="3"/>
    </row>
    <row r="2319" spans="2:12" x14ac:dyDescent="0.3">
      <c r="B2319" s="1"/>
      <c r="C2319" s="1"/>
      <c r="I2319" s="3"/>
      <c r="J2319" s="3"/>
      <c r="K2319" s="3"/>
      <c r="L2319" s="3"/>
    </row>
    <row r="2320" spans="2:12" x14ac:dyDescent="0.3">
      <c r="B2320" s="1"/>
      <c r="C2320" s="1"/>
      <c r="I2320" s="3"/>
      <c r="J2320" s="3"/>
      <c r="K2320" s="3"/>
      <c r="L2320" s="3"/>
    </row>
    <row r="2321" spans="2:12" x14ac:dyDescent="0.3">
      <c r="B2321" s="1"/>
      <c r="C2321" s="1"/>
      <c r="I2321" s="3"/>
      <c r="J2321" s="3"/>
      <c r="K2321" s="3"/>
      <c r="L2321" s="3"/>
    </row>
    <row r="2322" spans="2:12" x14ac:dyDescent="0.3">
      <c r="B2322" s="1"/>
      <c r="C2322" s="1"/>
      <c r="I2322" s="3"/>
      <c r="J2322" s="3"/>
      <c r="K2322" s="3"/>
      <c r="L2322" s="3"/>
    </row>
    <row r="2323" spans="2:12" x14ac:dyDescent="0.3">
      <c r="B2323" s="1"/>
      <c r="C2323" s="1"/>
      <c r="I2323" s="3"/>
      <c r="J2323" s="3"/>
      <c r="K2323" s="3"/>
      <c r="L2323" s="3"/>
    </row>
    <row r="2324" spans="2:12" x14ac:dyDescent="0.3">
      <c r="B2324" s="1"/>
      <c r="C2324" s="1"/>
      <c r="I2324" s="3"/>
      <c r="J2324" s="3"/>
      <c r="K2324" s="3"/>
      <c r="L2324" s="3"/>
    </row>
    <row r="2325" spans="2:12" x14ac:dyDescent="0.3">
      <c r="B2325" s="1"/>
      <c r="C2325" s="1"/>
      <c r="I2325" s="3"/>
      <c r="J2325" s="3"/>
      <c r="K2325" s="3"/>
      <c r="L2325" s="3"/>
    </row>
    <row r="2326" spans="2:12" x14ac:dyDescent="0.3">
      <c r="B2326" s="1"/>
      <c r="C2326" s="1"/>
      <c r="I2326" s="3"/>
      <c r="J2326" s="3"/>
      <c r="K2326" s="3"/>
      <c r="L2326" s="3"/>
    </row>
    <row r="2327" spans="2:12" x14ac:dyDescent="0.3">
      <c r="B2327" s="1"/>
      <c r="C2327" s="1"/>
      <c r="I2327" s="3"/>
      <c r="J2327" s="3"/>
      <c r="K2327" s="3"/>
      <c r="L2327" s="3"/>
    </row>
    <row r="2328" spans="2:12" x14ac:dyDescent="0.3">
      <c r="B2328" s="1"/>
      <c r="C2328" s="1"/>
      <c r="I2328" s="3"/>
      <c r="J2328" s="3"/>
      <c r="K2328" s="3"/>
      <c r="L2328" s="3"/>
    </row>
    <row r="2329" spans="2:12" x14ac:dyDescent="0.3">
      <c r="B2329" s="1"/>
      <c r="C2329" s="1"/>
      <c r="I2329" s="3"/>
      <c r="J2329" s="3"/>
      <c r="K2329" s="3"/>
      <c r="L2329" s="3"/>
    </row>
    <row r="2330" spans="2:12" x14ac:dyDescent="0.3">
      <c r="B2330" s="1"/>
      <c r="C2330" s="1"/>
      <c r="I2330" s="3"/>
      <c r="J2330" s="3"/>
      <c r="K2330" s="3"/>
      <c r="L2330" s="3"/>
    </row>
    <row r="2331" spans="2:12" x14ac:dyDescent="0.3">
      <c r="B2331" s="1"/>
      <c r="C2331" s="1"/>
      <c r="I2331" s="3"/>
      <c r="J2331" s="3"/>
      <c r="K2331" s="3"/>
      <c r="L2331" s="3"/>
    </row>
    <row r="2332" spans="2:12" x14ac:dyDescent="0.3">
      <c r="B2332" s="1"/>
      <c r="C2332" s="1"/>
      <c r="I2332" s="3"/>
      <c r="J2332" s="3"/>
      <c r="K2332" s="3"/>
      <c r="L2332" s="3"/>
    </row>
    <row r="2333" spans="2:12" x14ac:dyDescent="0.3">
      <c r="B2333" s="1"/>
      <c r="C2333" s="1"/>
      <c r="I2333" s="3"/>
      <c r="J2333" s="3"/>
      <c r="K2333" s="3"/>
      <c r="L2333" s="3"/>
    </row>
    <row r="2334" spans="2:12" x14ac:dyDescent="0.3">
      <c r="B2334" s="1"/>
      <c r="C2334" s="1"/>
      <c r="I2334" s="3"/>
      <c r="J2334" s="3"/>
      <c r="K2334" s="3"/>
      <c r="L2334" s="3"/>
    </row>
    <row r="2335" spans="2:12" x14ac:dyDescent="0.3">
      <c r="B2335" s="1"/>
      <c r="C2335" s="1"/>
      <c r="I2335" s="3"/>
      <c r="J2335" s="3"/>
      <c r="K2335" s="3"/>
      <c r="L2335" s="3"/>
    </row>
    <row r="2336" spans="2:12" x14ac:dyDescent="0.3">
      <c r="B2336" s="1"/>
      <c r="C2336" s="1"/>
      <c r="I2336" s="3"/>
      <c r="J2336" s="3"/>
      <c r="K2336" s="3"/>
      <c r="L2336" s="3"/>
    </row>
    <row r="2337" spans="2:12" x14ac:dyDescent="0.3">
      <c r="B2337" s="1"/>
      <c r="C2337" s="1"/>
      <c r="I2337" s="3"/>
      <c r="J2337" s="3"/>
      <c r="K2337" s="3"/>
      <c r="L2337" s="3"/>
    </row>
    <row r="2338" spans="2:12" x14ac:dyDescent="0.3">
      <c r="B2338" s="1"/>
      <c r="C2338" s="1"/>
      <c r="I2338" s="3"/>
      <c r="J2338" s="3"/>
      <c r="K2338" s="3"/>
      <c r="L2338" s="3"/>
    </row>
    <row r="2339" spans="2:12" x14ac:dyDescent="0.3">
      <c r="B2339" s="1"/>
      <c r="C2339" s="1"/>
      <c r="I2339" s="3"/>
      <c r="J2339" s="3"/>
      <c r="K2339" s="3"/>
      <c r="L2339" s="3"/>
    </row>
    <row r="2340" spans="2:12" x14ac:dyDescent="0.3">
      <c r="B2340" s="1"/>
      <c r="C2340" s="1"/>
      <c r="I2340" s="3"/>
      <c r="J2340" s="3"/>
      <c r="K2340" s="3"/>
      <c r="L2340" s="3"/>
    </row>
    <row r="2341" spans="2:12" x14ac:dyDescent="0.3">
      <c r="B2341" s="1"/>
      <c r="C2341" s="1"/>
      <c r="I2341" s="3"/>
      <c r="J2341" s="3"/>
      <c r="K2341" s="3"/>
      <c r="L2341" s="3"/>
    </row>
    <row r="2342" spans="2:12" x14ac:dyDescent="0.3">
      <c r="B2342" s="1"/>
      <c r="C2342" s="1"/>
      <c r="I2342" s="3"/>
      <c r="J2342" s="3"/>
      <c r="K2342" s="3"/>
      <c r="L2342" s="3"/>
    </row>
    <row r="2343" spans="2:12" x14ac:dyDescent="0.3">
      <c r="B2343" s="1"/>
      <c r="C2343" s="1"/>
      <c r="I2343" s="3"/>
      <c r="J2343" s="3"/>
      <c r="K2343" s="3"/>
      <c r="L2343" s="3"/>
    </row>
    <row r="2344" spans="2:12" x14ac:dyDescent="0.3">
      <c r="B2344" s="1"/>
      <c r="C2344" s="1"/>
      <c r="I2344" s="3"/>
      <c r="J2344" s="3"/>
      <c r="K2344" s="3"/>
      <c r="L2344" s="3"/>
    </row>
    <row r="2345" spans="2:12" x14ac:dyDescent="0.3">
      <c r="B2345" s="1"/>
      <c r="C2345" s="1"/>
      <c r="I2345" s="3"/>
      <c r="J2345" s="3"/>
      <c r="K2345" s="3"/>
      <c r="L2345" s="3"/>
    </row>
    <row r="2346" spans="2:12" x14ac:dyDescent="0.3">
      <c r="B2346" s="1"/>
      <c r="C2346" s="1"/>
      <c r="I2346" s="3"/>
      <c r="J2346" s="3"/>
      <c r="K2346" s="3"/>
      <c r="L2346" s="3"/>
    </row>
    <row r="2347" spans="2:12" x14ac:dyDescent="0.3">
      <c r="B2347" s="1"/>
      <c r="C2347" s="1"/>
      <c r="I2347" s="3"/>
      <c r="J2347" s="3"/>
      <c r="K2347" s="3"/>
      <c r="L2347" s="3"/>
    </row>
    <row r="2348" spans="2:12" x14ac:dyDescent="0.3">
      <c r="B2348" s="1"/>
      <c r="C2348" s="1"/>
      <c r="I2348" s="3"/>
      <c r="J2348" s="3"/>
      <c r="K2348" s="3"/>
      <c r="L2348" s="3"/>
    </row>
    <row r="2349" spans="2:12" x14ac:dyDescent="0.3">
      <c r="B2349" s="1"/>
      <c r="C2349" s="1"/>
      <c r="I2349" s="3"/>
      <c r="J2349" s="3"/>
      <c r="K2349" s="3"/>
      <c r="L2349" s="3"/>
    </row>
    <row r="2350" spans="2:12" x14ac:dyDescent="0.3">
      <c r="B2350" s="1"/>
      <c r="C2350" s="1"/>
      <c r="I2350" s="3"/>
      <c r="J2350" s="3"/>
      <c r="K2350" s="3"/>
      <c r="L2350" s="3"/>
    </row>
    <row r="2351" spans="2:12" x14ac:dyDescent="0.3">
      <c r="B2351" s="1"/>
      <c r="C2351" s="1"/>
      <c r="I2351" s="3"/>
      <c r="J2351" s="3"/>
      <c r="K2351" s="3"/>
      <c r="L2351" s="3"/>
    </row>
    <row r="2352" spans="2:12" x14ac:dyDescent="0.3">
      <c r="B2352" s="1"/>
      <c r="C2352" s="1"/>
      <c r="I2352" s="3"/>
      <c r="J2352" s="3"/>
      <c r="K2352" s="3"/>
      <c r="L2352" s="3"/>
    </row>
    <row r="2353" spans="2:12" x14ac:dyDescent="0.3">
      <c r="B2353" s="1"/>
      <c r="C2353" s="1"/>
      <c r="I2353" s="3"/>
      <c r="J2353" s="3"/>
      <c r="K2353" s="3"/>
      <c r="L2353" s="3"/>
    </row>
    <row r="2354" spans="2:12" x14ac:dyDescent="0.3">
      <c r="B2354" s="1"/>
      <c r="C2354" s="1"/>
      <c r="I2354" s="3"/>
      <c r="J2354" s="3"/>
      <c r="K2354" s="3"/>
      <c r="L2354" s="3"/>
    </row>
    <row r="2355" spans="2:12" x14ac:dyDescent="0.3">
      <c r="B2355" s="1"/>
      <c r="C2355" s="1"/>
      <c r="I2355" s="3"/>
      <c r="J2355" s="3"/>
      <c r="K2355" s="3"/>
      <c r="L2355" s="3"/>
    </row>
    <row r="2356" spans="2:12" x14ac:dyDescent="0.3">
      <c r="B2356" s="1"/>
      <c r="C2356" s="1"/>
      <c r="I2356" s="3"/>
      <c r="J2356" s="3"/>
      <c r="K2356" s="3"/>
      <c r="L2356" s="3"/>
    </row>
    <row r="2357" spans="2:12" x14ac:dyDescent="0.3">
      <c r="B2357" s="1"/>
      <c r="C2357" s="1"/>
      <c r="I2357" s="3"/>
      <c r="J2357" s="3"/>
      <c r="K2357" s="3"/>
      <c r="L2357" s="3"/>
    </row>
    <row r="2358" spans="2:12" x14ac:dyDescent="0.3">
      <c r="B2358" s="1"/>
      <c r="C2358" s="1"/>
      <c r="I2358" s="3"/>
      <c r="J2358" s="3"/>
      <c r="K2358" s="3"/>
      <c r="L2358" s="3"/>
    </row>
    <row r="2359" spans="2:12" x14ac:dyDescent="0.3">
      <c r="B2359" s="1"/>
      <c r="C2359" s="1"/>
      <c r="I2359" s="3"/>
      <c r="J2359" s="3"/>
      <c r="K2359" s="3"/>
      <c r="L2359" s="3"/>
    </row>
    <row r="2360" spans="2:12" x14ac:dyDescent="0.3">
      <c r="B2360" s="1"/>
      <c r="C2360" s="1"/>
      <c r="I2360" s="3"/>
      <c r="J2360" s="3"/>
      <c r="K2360" s="3"/>
      <c r="L2360" s="3"/>
    </row>
    <row r="2361" spans="2:12" x14ac:dyDescent="0.3">
      <c r="B2361" s="1"/>
      <c r="C2361" s="1"/>
      <c r="I2361" s="3"/>
      <c r="J2361" s="3"/>
      <c r="K2361" s="3"/>
      <c r="L2361" s="3"/>
    </row>
    <row r="2362" spans="2:12" x14ac:dyDescent="0.3">
      <c r="B2362" s="1"/>
      <c r="C2362" s="1"/>
      <c r="I2362" s="3"/>
      <c r="J2362" s="3"/>
      <c r="K2362" s="3"/>
      <c r="L2362" s="3"/>
    </row>
    <row r="2363" spans="2:12" x14ac:dyDescent="0.3">
      <c r="B2363" s="1"/>
      <c r="C2363" s="1"/>
      <c r="I2363" s="3"/>
      <c r="J2363" s="3"/>
      <c r="K2363" s="3"/>
      <c r="L2363" s="3"/>
    </row>
    <row r="2364" spans="2:12" x14ac:dyDescent="0.3">
      <c r="B2364" s="1"/>
      <c r="C2364" s="1"/>
      <c r="I2364" s="3"/>
      <c r="J2364" s="3"/>
      <c r="K2364" s="3"/>
      <c r="L2364" s="3"/>
    </row>
    <row r="2365" spans="2:12" x14ac:dyDescent="0.3">
      <c r="B2365" s="1"/>
      <c r="C2365" s="1"/>
      <c r="I2365" s="3"/>
      <c r="J2365" s="3"/>
      <c r="K2365" s="3"/>
      <c r="L2365" s="3"/>
    </row>
    <row r="2366" spans="2:12" x14ac:dyDescent="0.3">
      <c r="B2366" s="1"/>
      <c r="C2366" s="1"/>
      <c r="I2366" s="3"/>
      <c r="J2366" s="3"/>
      <c r="K2366" s="3"/>
      <c r="L2366" s="3"/>
    </row>
    <row r="2367" spans="2:12" x14ac:dyDescent="0.3">
      <c r="B2367" s="1"/>
      <c r="C2367" s="1"/>
      <c r="I2367" s="3"/>
      <c r="J2367" s="3"/>
      <c r="K2367" s="3"/>
      <c r="L2367" s="3"/>
    </row>
    <row r="2368" spans="2:12" x14ac:dyDescent="0.3">
      <c r="B2368" s="1"/>
      <c r="C2368" s="1"/>
      <c r="I2368" s="3"/>
      <c r="J2368" s="3"/>
      <c r="K2368" s="3"/>
      <c r="L2368" s="3"/>
    </row>
    <row r="2369" spans="2:12" x14ac:dyDescent="0.3">
      <c r="B2369" s="1"/>
      <c r="C2369" s="1"/>
      <c r="I2369" s="3"/>
      <c r="J2369" s="3"/>
      <c r="K2369" s="3"/>
      <c r="L2369" s="3"/>
    </row>
    <row r="2370" spans="2:12" x14ac:dyDescent="0.3">
      <c r="B2370" s="1"/>
      <c r="C2370" s="1"/>
      <c r="I2370" s="3"/>
      <c r="J2370" s="3"/>
      <c r="K2370" s="3"/>
      <c r="L2370" s="3"/>
    </row>
    <row r="2371" spans="2:12" x14ac:dyDescent="0.3">
      <c r="B2371" s="1"/>
      <c r="C2371" s="1"/>
      <c r="I2371" s="3"/>
      <c r="J2371" s="3"/>
      <c r="K2371" s="3"/>
      <c r="L2371" s="3"/>
    </row>
    <row r="2372" spans="2:12" x14ac:dyDescent="0.3">
      <c r="B2372" s="1"/>
      <c r="C2372" s="1"/>
      <c r="I2372" s="3"/>
      <c r="J2372" s="3"/>
      <c r="K2372" s="3"/>
      <c r="L2372" s="3"/>
    </row>
    <row r="2373" spans="2:12" x14ac:dyDescent="0.3">
      <c r="B2373" s="1"/>
      <c r="C2373" s="1"/>
      <c r="I2373" s="3"/>
      <c r="J2373" s="3"/>
      <c r="K2373" s="3"/>
      <c r="L2373" s="3"/>
    </row>
    <row r="2374" spans="2:12" x14ac:dyDescent="0.3">
      <c r="B2374" s="1"/>
      <c r="C2374" s="1"/>
      <c r="I2374" s="3"/>
      <c r="J2374" s="3"/>
      <c r="K2374" s="3"/>
      <c r="L2374" s="3"/>
    </row>
    <row r="2375" spans="2:12" x14ac:dyDescent="0.3">
      <c r="B2375" s="1"/>
      <c r="C2375" s="1"/>
      <c r="I2375" s="3"/>
      <c r="J2375" s="3"/>
      <c r="K2375" s="3"/>
      <c r="L2375" s="3"/>
    </row>
    <row r="2376" spans="2:12" x14ac:dyDescent="0.3">
      <c r="B2376" s="1"/>
      <c r="C2376" s="1"/>
      <c r="I2376" s="3"/>
      <c r="J2376" s="3"/>
      <c r="K2376" s="3"/>
      <c r="L2376" s="3"/>
    </row>
    <row r="2377" spans="2:12" x14ac:dyDescent="0.3">
      <c r="B2377" s="1"/>
      <c r="C2377" s="1"/>
      <c r="I2377" s="3"/>
      <c r="J2377" s="3"/>
      <c r="K2377" s="3"/>
      <c r="L2377" s="3"/>
    </row>
    <row r="2378" spans="2:12" x14ac:dyDescent="0.3">
      <c r="B2378" s="1"/>
      <c r="C2378" s="1"/>
      <c r="I2378" s="3"/>
      <c r="J2378" s="3"/>
      <c r="K2378" s="3"/>
      <c r="L2378" s="3"/>
    </row>
    <row r="2379" spans="2:12" x14ac:dyDescent="0.3">
      <c r="B2379" s="1"/>
      <c r="C2379" s="1"/>
      <c r="I2379" s="3"/>
      <c r="J2379" s="3"/>
      <c r="K2379" s="3"/>
      <c r="L2379" s="3"/>
    </row>
    <row r="2380" spans="2:12" x14ac:dyDescent="0.3">
      <c r="B2380" s="1"/>
      <c r="C2380" s="1"/>
      <c r="I2380" s="3"/>
      <c r="J2380" s="3"/>
      <c r="K2380" s="3"/>
      <c r="L2380" s="3"/>
    </row>
    <row r="2381" spans="2:12" x14ac:dyDescent="0.3">
      <c r="B2381" s="1"/>
      <c r="C2381" s="1"/>
      <c r="I2381" s="3"/>
      <c r="J2381" s="3"/>
      <c r="K2381" s="3"/>
      <c r="L2381" s="3"/>
    </row>
    <row r="2382" spans="2:12" x14ac:dyDescent="0.3">
      <c r="B2382" s="1"/>
      <c r="C2382" s="1"/>
      <c r="I2382" s="3"/>
      <c r="J2382" s="3"/>
      <c r="K2382" s="3"/>
      <c r="L2382" s="3"/>
    </row>
    <row r="2383" spans="2:12" x14ac:dyDescent="0.3">
      <c r="B2383" s="1"/>
      <c r="C2383" s="1"/>
      <c r="I2383" s="3"/>
      <c r="J2383" s="3"/>
      <c r="K2383" s="3"/>
      <c r="L2383" s="3"/>
    </row>
    <row r="2384" spans="2:12" x14ac:dyDescent="0.3">
      <c r="B2384" s="1"/>
      <c r="C2384" s="1"/>
      <c r="I2384" s="3"/>
      <c r="J2384" s="3"/>
      <c r="K2384" s="3"/>
      <c r="L2384" s="3"/>
    </row>
    <row r="2385" spans="2:12" x14ac:dyDescent="0.3">
      <c r="B2385" s="1"/>
      <c r="C2385" s="1"/>
      <c r="I2385" s="3"/>
      <c r="J2385" s="3"/>
      <c r="K2385" s="3"/>
      <c r="L2385" s="3"/>
    </row>
    <row r="2386" spans="2:12" x14ac:dyDescent="0.3">
      <c r="B2386" s="1"/>
      <c r="C2386" s="1"/>
      <c r="I2386" s="3"/>
      <c r="J2386" s="3"/>
      <c r="K2386" s="3"/>
      <c r="L2386" s="3"/>
    </row>
    <row r="2387" spans="2:12" x14ac:dyDescent="0.3">
      <c r="B2387" s="1"/>
      <c r="C2387" s="1"/>
      <c r="I2387" s="3"/>
      <c r="J2387" s="3"/>
      <c r="K2387" s="3"/>
      <c r="L2387" s="3"/>
    </row>
    <row r="2388" spans="2:12" x14ac:dyDescent="0.3">
      <c r="B2388" s="1"/>
      <c r="C2388" s="1"/>
      <c r="I2388" s="3"/>
      <c r="J2388" s="3"/>
      <c r="K2388" s="3"/>
      <c r="L2388" s="3"/>
    </row>
    <row r="2389" spans="2:12" x14ac:dyDescent="0.3">
      <c r="B2389" s="1"/>
      <c r="C2389" s="1"/>
      <c r="I2389" s="3"/>
      <c r="J2389" s="3"/>
      <c r="K2389" s="3"/>
      <c r="L2389" s="3"/>
    </row>
    <row r="2390" spans="2:12" x14ac:dyDescent="0.3">
      <c r="B2390" s="1"/>
      <c r="C2390" s="1"/>
      <c r="I2390" s="3"/>
      <c r="J2390" s="3"/>
      <c r="K2390" s="3"/>
      <c r="L2390" s="3"/>
    </row>
    <row r="2391" spans="2:12" x14ac:dyDescent="0.3">
      <c r="B2391" s="1"/>
      <c r="C2391" s="1"/>
      <c r="I2391" s="3"/>
      <c r="J2391" s="3"/>
      <c r="K2391" s="3"/>
      <c r="L2391" s="3"/>
    </row>
    <row r="2392" spans="2:12" x14ac:dyDescent="0.3">
      <c r="B2392" s="1"/>
      <c r="C2392" s="1"/>
      <c r="I2392" s="3"/>
      <c r="J2392" s="3"/>
      <c r="K2392" s="3"/>
      <c r="L2392" s="3"/>
    </row>
    <row r="2393" spans="2:12" x14ac:dyDescent="0.3">
      <c r="B2393" s="1"/>
      <c r="C2393" s="1"/>
      <c r="I2393" s="3"/>
      <c r="J2393" s="3"/>
      <c r="K2393" s="3"/>
      <c r="L2393" s="3"/>
    </row>
    <row r="2394" spans="2:12" x14ac:dyDescent="0.3">
      <c r="B2394" s="1"/>
      <c r="C2394" s="1"/>
      <c r="I2394" s="3"/>
      <c r="J2394" s="3"/>
      <c r="K2394" s="3"/>
      <c r="L2394" s="3"/>
    </row>
    <row r="2395" spans="2:12" x14ac:dyDescent="0.3">
      <c r="B2395" s="1"/>
      <c r="C2395" s="1"/>
      <c r="I2395" s="3"/>
      <c r="J2395" s="3"/>
      <c r="K2395" s="3"/>
      <c r="L2395" s="3"/>
    </row>
    <row r="2396" spans="2:12" x14ac:dyDescent="0.3">
      <c r="B2396" s="1"/>
      <c r="C2396" s="1"/>
      <c r="I2396" s="3"/>
      <c r="J2396" s="3"/>
      <c r="K2396" s="3"/>
      <c r="L2396" s="3"/>
    </row>
    <row r="2397" spans="2:12" x14ac:dyDescent="0.3">
      <c r="B2397" s="1"/>
      <c r="C2397" s="1"/>
      <c r="I2397" s="3"/>
      <c r="J2397" s="3"/>
      <c r="K2397" s="3"/>
      <c r="L2397" s="3"/>
    </row>
    <row r="2398" spans="2:12" x14ac:dyDescent="0.3">
      <c r="B2398" s="1"/>
      <c r="C2398" s="1"/>
      <c r="I2398" s="3"/>
      <c r="J2398" s="3"/>
      <c r="K2398" s="3"/>
      <c r="L2398" s="3"/>
    </row>
    <row r="2399" spans="2:12" x14ac:dyDescent="0.3">
      <c r="B2399" s="1"/>
      <c r="C2399" s="1"/>
      <c r="I2399" s="3"/>
      <c r="J2399" s="3"/>
      <c r="K2399" s="3"/>
      <c r="L2399" s="3"/>
    </row>
    <row r="2400" spans="2:12" x14ac:dyDescent="0.3">
      <c r="B2400" s="1"/>
      <c r="C2400" s="1"/>
      <c r="I2400" s="3"/>
      <c r="J2400" s="3"/>
      <c r="K2400" s="3"/>
      <c r="L2400" s="3"/>
    </row>
    <row r="2401" spans="2:12" x14ac:dyDescent="0.3">
      <c r="B2401" s="1"/>
      <c r="C2401" s="1"/>
      <c r="I2401" s="3"/>
      <c r="J2401" s="3"/>
      <c r="K2401" s="3"/>
      <c r="L2401" s="3"/>
    </row>
    <row r="2402" spans="2:12" x14ac:dyDescent="0.3">
      <c r="B2402" s="1"/>
      <c r="C2402" s="1"/>
      <c r="I2402" s="3"/>
      <c r="J2402" s="3"/>
      <c r="K2402" s="3"/>
      <c r="L2402" s="3"/>
    </row>
    <row r="2403" spans="2:12" x14ac:dyDescent="0.3">
      <c r="B2403" s="1"/>
      <c r="C2403" s="1"/>
      <c r="I2403" s="3"/>
      <c r="J2403" s="3"/>
      <c r="K2403" s="3"/>
      <c r="L2403" s="3"/>
    </row>
    <row r="2404" spans="2:12" x14ac:dyDescent="0.3">
      <c r="B2404" s="1"/>
      <c r="C2404" s="1"/>
      <c r="I2404" s="3"/>
      <c r="J2404" s="3"/>
      <c r="K2404" s="3"/>
      <c r="L2404" s="3"/>
    </row>
    <row r="2405" spans="2:12" x14ac:dyDescent="0.3">
      <c r="B2405" s="1"/>
      <c r="C2405" s="1"/>
      <c r="I2405" s="3"/>
      <c r="J2405" s="3"/>
      <c r="K2405" s="3"/>
      <c r="L2405" s="3"/>
    </row>
    <row r="2406" spans="2:12" x14ac:dyDescent="0.3">
      <c r="B2406" s="1"/>
      <c r="C2406" s="1"/>
      <c r="I2406" s="3"/>
      <c r="J2406" s="3"/>
      <c r="K2406" s="3"/>
      <c r="L2406" s="3"/>
    </row>
    <row r="2407" spans="2:12" x14ac:dyDescent="0.3">
      <c r="B2407" s="1"/>
      <c r="C2407" s="1"/>
      <c r="I2407" s="3"/>
      <c r="J2407" s="3"/>
      <c r="K2407" s="3"/>
      <c r="L2407" s="3"/>
    </row>
    <row r="2408" spans="2:12" x14ac:dyDescent="0.3">
      <c r="B2408" s="1"/>
      <c r="C2408" s="1"/>
      <c r="I2408" s="3"/>
      <c r="J2408" s="3"/>
      <c r="K2408" s="3"/>
      <c r="L2408" s="3"/>
    </row>
    <row r="2409" spans="2:12" x14ac:dyDescent="0.3">
      <c r="B2409" s="1"/>
      <c r="C2409" s="1"/>
      <c r="I2409" s="3"/>
      <c r="J2409" s="3"/>
      <c r="K2409" s="3"/>
      <c r="L2409" s="3"/>
    </row>
    <row r="2410" spans="2:12" x14ac:dyDescent="0.3">
      <c r="B2410" s="1"/>
      <c r="C2410" s="1"/>
      <c r="I2410" s="3"/>
      <c r="J2410" s="3"/>
      <c r="K2410" s="3"/>
      <c r="L2410" s="3"/>
    </row>
    <row r="2411" spans="2:12" x14ac:dyDescent="0.3">
      <c r="B2411" s="1"/>
      <c r="C2411" s="1"/>
      <c r="I2411" s="3"/>
      <c r="J2411" s="3"/>
      <c r="K2411" s="3"/>
      <c r="L2411" s="3"/>
    </row>
    <row r="2412" spans="2:12" x14ac:dyDescent="0.3">
      <c r="B2412" s="1"/>
      <c r="C2412" s="1"/>
      <c r="I2412" s="3"/>
      <c r="J2412" s="3"/>
      <c r="K2412" s="3"/>
      <c r="L2412" s="3"/>
    </row>
    <row r="2413" spans="2:12" x14ac:dyDescent="0.3">
      <c r="B2413" s="1"/>
      <c r="C2413" s="1"/>
      <c r="I2413" s="3"/>
      <c r="J2413" s="3"/>
      <c r="K2413" s="3"/>
      <c r="L2413" s="3"/>
    </row>
    <row r="2414" spans="2:12" x14ac:dyDescent="0.3">
      <c r="B2414" s="1"/>
      <c r="C2414" s="1"/>
      <c r="I2414" s="3"/>
      <c r="J2414" s="3"/>
      <c r="K2414" s="3"/>
      <c r="L2414" s="3"/>
    </row>
    <row r="2415" spans="2:12" x14ac:dyDescent="0.3">
      <c r="B2415" s="1"/>
      <c r="C2415" s="1"/>
      <c r="I2415" s="3"/>
      <c r="J2415" s="3"/>
      <c r="K2415" s="3"/>
      <c r="L2415" s="3"/>
    </row>
    <row r="2416" spans="2:12" x14ac:dyDescent="0.3">
      <c r="B2416" s="1"/>
      <c r="C2416" s="1"/>
      <c r="I2416" s="3"/>
      <c r="J2416" s="3"/>
      <c r="K2416" s="3"/>
      <c r="L2416" s="3"/>
    </row>
    <row r="2417" spans="2:12" x14ac:dyDescent="0.3">
      <c r="B2417" s="1"/>
      <c r="C2417" s="1"/>
      <c r="I2417" s="3"/>
      <c r="J2417" s="3"/>
      <c r="K2417" s="3"/>
      <c r="L2417" s="3"/>
    </row>
    <row r="2418" spans="2:12" x14ac:dyDescent="0.3">
      <c r="B2418" s="1"/>
      <c r="C2418" s="1"/>
      <c r="I2418" s="3"/>
      <c r="J2418" s="3"/>
      <c r="K2418" s="3"/>
      <c r="L2418" s="3"/>
    </row>
    <row r="2419" spans="2:12" x14ac:dyDescent="0.3">
      <c r="B2419" s="1"/>
      <c r="C2419" s="1"/>
      <c r="I2419" s="3"/>
      <c r="J2419" s="3"/>
      <c r="K2419" s="3"/>
      <c r="L2419" s="3"/>
    </row>
    <row r="2420" spans="2:12" x14ac:dyDescent="0.3">
      <c r="B2420" s="1"/>
      <c r="C2420" s="1"/>
      <c r="I2420" s="3"/>
      <c r="J2420" s="3"/>
      <c r="K2420" s="3"/>
      <c r="L2420" s="3"/>
    </row>
    <row r="2421" spans="2:12" x14ac:dyDescent="0.3">
      <c r="B2421" s="1"/>
      <c r="C2421" s="1"/>
      <c r="I2421" s="3"/>
      <c r="J2421" s="3"/>
      <c r="K2421" s="3"/>
      <c r="L2421" s="3"/>
    </row>
    <row r="2422" spans="2:12" x14ac:dyDescent="0.3">
      <c r="B2422" s="1"/>
      <c r="C2422" s="1"/>
      <c r="I2422" s="3"/>
      <c r="J2422" s="3"/>
      <c r="K2422" s="3"/>
      <c r="L2422" s="3"/>
    </row>
    <row r="2423" spans="2:12" x14ac:dyDescent="0.3">
      <c r="B2423" s="1"/>
      <c r="C2423" s="1"/>
      <c r="I2423" s="3"/>
      <c r="J2423" s="3"/>
      <c r="K2423" s="3"/>
      <c r="L2423" s="3"/>
    </row>
    <row r="2424" spans="2:12" x14ac:dyDescent="0.3">
      <c r="B2424" s="1"/>
      <c r="C2424" s="1"/>
      <c r="I2424" s="3"/>
      <c r="J2424" s="3"/>
      <c r="K2424" s="3"/>
      <c r="L2424" s="3"/>
    </row>
    <row r="2425" spans="2:12" x14ac:dyDescent="0.3">
      <c r="B2425" s="1"/>
      <c r="C2425" s="1"/>
      <c r="I2425" s="3"/>
      <c r="J2425" s="3"/>
      <c r="K2425" s="3"/>
      <c r="L2425" s="3"/>
    </row>
    <row r="2426" spans="2:12" x14ac:dyDescent="0.3">
      <c r="B2426" s="1"/>
      <c r="C2426" s="1"/>
      <c r="I2426" s="3"/>
      <c r="J2426" s="3"/>
      <c r="K2426" s="3"/>
      <c r="L2426" s="3"/>
    </row>
    <row r="2427" spans="2:12" x14ac:dyDescent="0.3">
      <c r="B2427" s="1"/>
      <c r="C2427" s="1"/>
      <c r="I2427" s="3"/>
      <c r="J2427" s="3"/>
      <c r="K2427" s="3"/>
      <c r="L2427" s="3"/>
    </row>
    <row r="2428" spans="2:12" x14ac:dyDescent="0.3">
      <c r="B2428" s="1"/>
      <c r="C2428" s="1"/>
      <c r="I2428" s="3"/>
      <c r="J2428" s="3"/>
      <c r="K2428" s="3"/>
      <c r="L2428" s="3"/>
    </row>
    <row r="2429" spans="2:12" x14ac:dyDescent="0.3">
      <c r="B2429" s="1"/>
      <c r="C2429" s="1"/>
      <c r="I2429" s="3"/>
      <c r="J2429" s="3"/>
      <c r="K2429" s="3"/>
      <c r="L2429" s="3"/>
    </row>
    <row r="2430" spans="2:12" x14ac:dyDescent="0.3">
      <c r="B2430" s="1"/>
      <c r="C2430" s="1"/>
      <c r="I2430" s="3"/>
      <c r="J2430" s="3"/>
      <c r="K2430" s="3"/>
      <c r="L2430" s="3"/>
    </row>
    <row r="2431" spans="2:12" x14ac:dyDescent="0.3">
      <c r="B2431" s="1"/>
      <c r="C2431" s="1"/>
      <c r="I2431" s="3"/>
      <c r="J2431" s="3"/>
      <c r="K2431" s="3"/>
      <c r="L2431" s="3"/>
    </row>
    <row r="2432" spans="2:12" x14ac:dyDescent="0.3">
      <c r="B2432" s="1"/>
      <c r="C2432" s="1"/>
      <c r="I2432" s="3"/>
      <c r="J2432" s="3"/>
      <c r="K2432" s="3"/>
      <c r="L2432" s="3"/>
    </row>
    <row r="2433" spans="2:12" x14ac:dyDescent="0.3">
      <c r="B2433" s="1"/>
      <c r="C2433" s="1"/>
      <c r="I2433" s="3"/>
      <c r="J2433" s="3"/>
      <c r="K2433" s="3"/>
      <c r="L2433" s="3"/>
    </row>
    <row r="2434" spans="2:12" x14ac:dyDescent="0.3">
      <c r="B2434" s="1"/>
      <c r="C2434" s="1"/>
      <c r="I2434" s="3"/>
      <c r="J2434" s="3"/>
      <c r="K2434" s="3"/>
      <c r="L2434" s="3"/>
    </row>
    <row r="2435" spans="2:12" x14ac:dyDescent="0.3">
      <c r="B2435" s="1"/>
      <c r="C2435" s="1"/>
      <c r="I2435" s="3"/>
      <c r="J2435" s="3"/>
      <c r="K2435" s="3"/>
      <c r="L2435" s="3"/>
    </row>
    <row r="2436" spans="2:12" x14ac:dyDescent="0.3">
      <c r="B2436" s="1"/>
      <c r="C2436" s="1"/>
      <c r="I2436" s="3"/>
      <c r="J2436" s="3"/>
      <c r="K2436" s="3"/>
      <c r="L2436" s="3"/>
    </row>
    <row r="2437" spans="2:12" x14ac:dyDescent="0.3">
      <c r="B2437" s="1"/>
      <c r="C2437" s="1"/>
      <c r="I2437" s="3"/>
      <c r="J2437" s="3"/>
      <c r="K2437" s="3"/>
      <c r="L2437" s="3"/>
    </row>
    <row r="2438" spans="2:12" x14ac:dyDescent="0.3">
      <c r="B2438" s="1"/>
      <c r="C2438" s="1"/>
      <c r="I2438" s="3"/>
      <c r="J2438" s="3"/>
      <c r="K2438" s="3"/>
      <c r="L2438" s="3"/>
    </row>
    <row r="2439" spans="2:12" x14ac:dyDescent="0.3">
      <c r="B2439" s="1"/>
      <c r="C2439" s="1"/>
      <c r="I2439" s="3"/>
      <c r="J2439" s="3"/>
      <c r="K2439" s="3"/>
      <c r="L2439" s="3"/>
    </row>
    <row r="2440" spans="2:12" x14ac:dyDescent="0.3">
      <c r="B2440" s="1"/>
      <c r="C2440" s="1"/>
      <c r="I2440" s="3"/>
      <c r="J2440" s="3"/>
      <c r="K2440" s="3"/>
      <c r="L2440" s="3"/>
    </row>
    <row r="2441" spans="2:12" x14ac:dyDescent="0.3">
      <c r="B2441" s="1"/>
      <c r="C2441" s="1"/>
      <c r="I2441" s="3"/>
      <c r="J2441" s="3"/>
      <c r="K2441" s="3"/>
      <c r="L2441" s="3"/>
    </row>
    <row r="2442" spans="2:12" x14ac:dyDescent="0.3">
      <c r="B2442" s="1"/>
      <c r="C2442" s="1"/>
      <c r="I2442" s="3"/>
      <c r="J2442" s="3"/>
      <c r="K2442" s="3"/>
      <c r="L2442" s="3"/>
    </row>
    <row r="2443" spans="2:12" x14ac:dyDescent="0.3">
      <c r="B2443" s="1"/>
      <c r="C2443" s="1"/>
      <c r="I2443" s="3"/>
      <c r="J2443" s="3"/>
      <c r="K2443" s="3"/>
      <c r="L2443" s="3"/>
    </row>
    <row r="2444" spans="2:12" x14ac:dyDescent="0.3">
      <c r="B2444" s="1"/>
      <c r="C2444" s="1"/>
      <c r="I2444" s="3"/>
      <c r="J2444" s="3"/>
      <c r="K2444" s="3"/>
      <c r="L2444" s="3"/>
    </row>
    <row r="2445" spans="2:12" x14ac:dyDescent="0.3">
      <c r="B2445" s="1"/>
      <c r="C2445" s="1"/>
      <c r="I2445" s="3"/>
      <c r="J2445" s="3"/>
      <c r="K2445" s="3"/>
      <c r="L2445" s="3"/>
    </row>
    <row r="2446" spans="2:12" x14ac:dyDescent="0.3">
      <c r="B2446" s="1"/>
      <c r="C2446" s="1"/>
      <c r="I2446" s="3"/>
      <c r="J2446" s="3"/>
      <c r="K2446" s="3"/>
      <c r="L2446" s="3"/>
    </row>
    <row r="2447" spans="2:12" x14ac:dyDescent="0.3">
      <c r="B2447" s="1"/>
      <c r="C2447" s="1"/>
      <c r="I2447" s="3"/>
      <c r="J2447" s="3"/>
      <c r="K2447" s="3"/>
      <c r="L2447" s="3"/>
    </row>
    <row r="2448" spans="2:12" x14ac:dyDescent="0.3">
      <c r="B2448" s="1"/>
      <c r="C2448" s="1"/>
      <c r="I2448" s="3"/>
      <c r="J2448" s="3"/>
      <c r="K2448" s="3"/>
      <c r="L2448" s="3"/>
    </row>
    <row r="2449" spans="2:12" x14ac:dyDescent="0.3">
      <c r="B2449" s="1"/>
      <c r="C2449" s="1"/>
      <c r="I2449" s="3"/>
      <c r="J2449" s="3"/>
      <c r="K2449" s="3"/>
      <c r="L2449" s="3"/>
    </row>
    <row r="2450" spans="2:12" x14ac:dyDescent="0.3">
      <c r="B2450" s="1"/>
      <c r="C2450" s="1"/>
      <c r="I2450" s="3"/>
      <c r="J2450" s="3"/>
      <c r="K2450" s="3"/>
      <c r="L2450" s="3"/>
    </row>
    <row r="2451" spans="2:12" x14ac:dyDescent="0.3">
      <c r="B2451" s="1"/>
      <c r="C2451" s="1"/>
      <c r="I2451" s="3"/>
      <c r="J2451" s="3"/>
      <c r="K2451" s="3"/>
      <c r="L2451" s="3"/>
    </row>
    <row r="2452" spans="2:12" x14ac:dyDescent="0.3">
      <c r="B2452" s="1"/>
      <c r="C2452" s="1"/>
      <c r="I2452" s="3"/>
      <c r="J2452" s="3"/>
      <c r="K2452" s="3"/>
      <c r="L2452" s="3"/>
    </row>
    <row r="2453" spans="2:12" x14ac:dyDescent="0.3">
      <c r="B2453" s="1"/>
      <c r="C2453" s="1"/>
      <c r="I2453" s="3"/>
      <c r="J2453" s="3"/>
      <c r="K2453" s="3"/>
      <c r="L2453" s="3"/>
    </row>
    <row r="2454" spans="2:12" x14ac:dyDescent="0.3">
      <c r="B2454" s="1"/>
      <c r="C2454" s="1"/>
      <c r="I2454" s="3"/>
      <c r="J2454" s="3"/>
      <c r="K2454" s="3"/>
      <c r="L2454" s="3"/>
    </row>
    <row r="2455" spans="2:12" x14ac:dyDescent="0.3">
      <c r="B2455" s="1"/>
      <c r="C2455" s="1"/>
      <c r="I2455" s="3"/>
      <c r="J2455" s="3"/>
      <c r="K2455" s="3"/>
      <c r="L2455" s="3"/>
    </row>
    <row r="2456" spans="2:12" x14ac:dyDescent="0.3">
      <c r="B2456" s="1"/>
      <c r="C2456" s="1"/>
      <c r="I2456" s="3"/>
      <c r="J2456" s="3"/>
      <c r="K2456" s="3"/>
      <c r="L2456" s="3"/>
    </row>
    <row r="2457" spans="2:12" x14ac:dyDescent="0.3">
      <c r="B2457" s="1"/>
      <c r="C2457" s="1"/>
      <c r="I2457" s="3"/>
      <c r="J2457" s="3"/>
      <c r="K2457" s="3"/>
      <c r="L2457" s="3"/>
    </row>
    <row r="2458" spans="2:12" x14ac:dyDescent="0.3">
      <c r="B2458" s="1"/>
      <c r="C2458" s="1"/>
      <c r="I2458" s="3"/>
      <c r="J2458" s="3"/>
      <c r="K2458" s="3"/>
      <c r="L2458" s="3"/>
    </row>
    <row r="2459" spans="2:12" x14ac:dyDescent="0.3">
      <c r="B2459" s="1"/>
      <c r="C2459" s="1"/>
      <c r="I2459" s="3"/>
      <c r="J2459" s="3"/>
      <c r="K2459" s="3"/>
      <c r="L2459" s="3"/>
    </row>
    <row r="2460" spans="2:12" x14ac:dyDescent="0.3">
      <c r="B2460" s="1"/>
      <c r="C2460" s="1"/>
      <c r="I2460" s="3"/>
      <c r="J2460" s="3"/>
      <c r="K2460" s="3"/>
      <c r="L2460" s="3"/>
    </row>
    <row r="2461" spans="2:12" x14ac:dyDescent="0.3">
      <c r="B2461" s="1"/>
      <c r="C2461" s="1"/>
      <c r="I2461" s="3"/>
      <c r="J2461" s="3"/>
      <c r="K2461" s="3"/>
      <c r="L2461" s="3"/>
    </row>
    <row r="2462" spans="2:12" x14ac:dyDescent="0.3">
      <c r="B2462" s="1"/>
      <c r="C2462" s="1"/>
      <c r="I2462" s="3"/>
      <c r="J2462" s="3"/>
      <c r="K2462" s="3"/>
      <c r="L2462" s="3"/>
    </row>
    <row r="2463" spans="2:12" x14ac:dyDescent="0.3">
      <c r="B2463" s="1"/>
      <c r="C2463" s="1"/>
      <c r="I2463" s="3"/>
      <c r="J2463" s="3"/>
      <c r="K2463" s="3"/>
      <c r="L2463" s="3"/>
    </row>
    <row r="2464" spans="2:12" x14ac:dyDescent="0.3">
      <c r="B2464" s="1"/>
      <c r="C2464" s="1"/>
      <c r="I2464" s="3"/>
      <c r="J2464" s="3"/>
      <c r="K2464" s="3"/>
      <c r="L2464" s="3"/>
    </row>
    <row r="2465" spans="2:12" x14ac:dyDescent="0.3">
      <c r="B2465" s="1"/>
      <c r="C2465" s="1"/>
      <c r="I2465" s="3"/>
      <c r="J2465" s="3"/>
      <c r="K2465" s="3"/>
      <c r="L2465" s="3"/>
    </row>
    <row r="2466" spans="2:12" x14ac:dyDescent="0.3">
      <c r="B2466" s="1"/>
      <c r="C2466" s="1"/>
      <c r="I2466" s="3"/>
      <c r="J2466" s="3"/>
      <c r="K2466" s="3"/>
      <c r="L2466" s="3"/>
    </row>
    <row r="2467" spans="2:12" x14ac:dyDescent="0.3">
      <c r="B2467" s="1"/>
      <c r="C2467" s="1"/>
      <c r="I2467" s="3"/>
      <c r="J2467" s="3"/>
      <c r="K2467" s="3"/>
      <c r="L2467" s="3"/>
    </row>
    <row r="2468" spans="2:12" x14ac:dyDescent="0.3">
      <c r="B2468" s="1"/>
      <c r="C2468" s="1"/>
      <c r="I2468" s="3"/>
      <c r="J2468" s="3"/>
      <c r="K2468" s="3"/>
      <c r="L2468" s="3"/>
    </row>
    <row r="2469" spans="2:12" x14ac:dyDescent="0.3">
      <c r="B2469" s="1"/>
      <c r="C2469" s="1"/>
      <c r="I2469" s="3"/>
      <c r="J2469" s="3"/>
      <c r="K2469" s="3"/>
      <c r="L2469" s="3"/>
    </row>
    <row r="2470" spans="2:12" x14ac:dyDescent="0.3">
      <c r="B2470" s="1"/>
      <c r="C2470" s="1"/>
      <c r="I2470" s="3"/>
      <c r="J2470" s="3"/>
      <c r="K2470" s="3"/>
      <c r="L2470" s="3"/>
    </row>
    <row r="2471" spans="2:12" x14ac:dyDescent="0.3">
      <c r="B2471" s="1"/>
      <c r="C2471" s="1"/>
      <c r="I2471" s="3"/>
      <c r="J2471" s="3"/>
      <c r="K2471" s="3"/>
      <c r="L2471" s="3"/>
    </row>
    <row r="2472" spans="2:12" x14ac:dyDescent="0.3">
      <c r="B2472" s="1"/>
      <c r="C2472" s="1"/>
      <c r="I2472" s="3"/>
      <c r="J2472" s="3"/>
      <c r="K2472" s="3"/>
      <c r="L2472" s="3"/>
    </row>
    <row r="2473" spans="2:12" x14ac:dyDescent="0.3">
      <c r="B2473" s="1"/>
      <c r="C2473" s="1"/>
      <c r="I2473" s="3"/>
      <c r="J2473" s="3"/>
      <c r="K2473" s="3"/>
      <c r="L2473" s="3"/>
    </row>
    <row r="2474" spans="2:12" x14ac:dyDescent="0.3">
      <c r="B2474" s="1"/>
      <c r="C2474" s="1"/>
      <c r="I2474" s="3"/>
      <c r="J2474" s="3"/>
      <c r="K2474" s="3"/>
      <c r="L2474" s="3"/>
    </row>
    <row r="2475" spans="2:12" x14ac:dyDescent="0.3">
      <c r="B2475" s="1"/>
      <c r="C2475" s="1"/>
      <c r="I2475" s="3"/>
      <c r="J2475" s="3"/>
      <c r="K2475" s="3"/>
      <c r="L2475" s="3"/>
    </row>
    <row r="2476" spans="2:12" x14ac:dyDescent="0.3">
      <c r="B2476" s="1"/>
      <c r="C2476" s="1"/>
      <c r="I2476" s="3"/>
      <c r="J2476" s="3"/>
      <c r="K2476" s="3"/>
      <c r="L2476" s="3"/>
    </row>
    <row r="2477" spans="2:12" x14ac:dyDescent="0.3">
      <c r="B2477" s="1"/>
      <c r="C2477" s="1"/>
      <c r="I2477" s="3"/>
      <c r="J2477" s="3"/>
      <c r="K2477" s="3"/>
      <c r="L2477" s="3"/>
    </row>
    <row r="2478" spans="2:12" x14ac:dyDescent="0.3">
      <c r="B2478" s="1"/>
      <c r="C2478" s="1"/>
      <c r="I2478" s="3"/>
      <c r="J2478" s="3"/>
      <c r="K2478" s="3"/>
      <c r="L2478" s="3"/>
    </row>
    <row r="2479" spans="2:12" x14ac:dyDescent="0.3">
      <c r="B2479" s="1"/>
      <c r="C2479" s="1"/>
      <c r="I2479" s="3"/>
      <c r="J2479" s="3"/>
      <c r="K2479" s="3"/>
      <c r="L2479" s="3"/>
    </row>
    <row r="2480" spans="2:12" x14ac:dyDescent="0.3">
      <c r="B2480" s="1"/>
      <c r="C2480" s="1"/>
      <c r="I2480" s="3"/>
      <c r="J2480" s="3"/>
      <c r="K2480" s="3"/>
      <c r="L2480" s="3"/>
    </row>
    <row r="2481" spans="2:12" x14ac:dyDescent="0.3">
      <c r="B2481" s="1"/>
      <c r="C2481" s="1"/>
      <c r="I2481" s="3"/>
      <c r="J2481" s="3"/>
      <c r="K2481" s="3"/>
      <c r="L2481" s="3"/>
    </row>
    <row r="2482" spans="2:12" x14ac:dyDescent="0.3">
      <c r="B2482" s="1"/>
      <c r="C2482" s="1"/>
      <c r="I2482" s="3"/>
      <c r="J2482" s="3"/>
      <c r="K2482" s="3"/>
      <c r="L2482" s="3"/>
    </row>
    <row r="2483" spans="2:12" x14ac:dyDescent="0.3">
      <c r="B2483" s="1"/>
      <c r="C2483" s="1"/>
      <c r="I2483" s="3"/>
      <c r="J2483" s="3"/>
      <c r="K2483" s="3"/>
      <c r="L2483" s="3"/>
    </row>
    <row r="2484" spans="2:12" x14ac:dyDescent="0.3">
      <c r="B2484" s="1"/>
      <c r="C2484" s="1"/>
      <c r="I2484" s="3"/>
      <c r="J2484" s="3"/>
      <c r="K2484" s="3"/>
      <c r="L2484" s="3"/>
    </row>
    <row r="2485" spans="2:12" x14ac:dyDescent="0.3">
      <c r="B2485" s="1"/>
      <c r="C2485" s="1"/>
      <c r="I2485" s="3"/>
      <c r="J2485" s="3"/>
      <c r="K2485" s="3"/>
      <c r="L2485" s="3"/>
    </row>
    <row r="2486" spans="2:12" x14ac:dyDescent="0.3">
      <c r="B2486" s="1"/>
      <c r="C2486" s="1"/>
      <c r="I2486" s="3"/>
      <c r="J2486" s="3"/>
      <c r="K2486" s="3"/>
      <c r="L2486" s="3"/>
    </row>
    <row r="2487" spans="2:12" x14ac:dyDescent="0.3">
      <c r="B2487" s="1"/>
      <c r="C2487" s="1"/>
      <c r="I2487" s="3"/>
      <c r="J2487" s="3"/>
      <c r="K2487" s="3"/>
      <c r="L2487" s="3"/>
    </row>
    <row r="2488" spans="2:12" x14ac:dyDescent="0.3">
      <c r="B2488" s="1"/>
      <c r="C2488" s="1"/>
      <c r="I2488" s="3"/>
      <c r="J2488" s="3"/>
      <c r="K2488" s="3"/>
      <c r="L2488" s="3"/>
    </row>
    <row r="2489" spans="2:12" x14ac:dyDescent="0.3">
      <c r="B2489" s="1"/>
      <c r="C2489" s="1"/>
      <c r="I2489" s="3"/>
      <c r="J2489" s="3"/>
      <c r="K2489" s="3"/>
      <c r="L2489" s="3"/>
    </row>
    <row r="2490" spans="2:12" x14ac:dyDescent="0.3">
      <c r="B2490" s="1"/>
      <c r="C2490" s="1"/>
      <c r="I2490" s="3"/>
      <c r="J2490" s="3"/>
      <c r="K2490" s="3"/>
      <c r="L2490" s="3"/>
    </row>
    <row r="2491" spans="2:12" x14ac:dyDescent="0.3">
      <c r="B2491" s="1"/>
      <c r="C2491" s="1"/>
      <c r="I2491" s="3"/>
      <c r="J2491" s="3"/>
      <c r="K2491" s="3"/>
      <c r="L2491" s="3"/>
    </row>
    <row r="2492" spans="2:12" x14ac:dyDescent="0.3">
      <c r="B2492" s="1"/>
      <c r="C2492" s="1"/>
      <c r="I2492" s="3"/>
      <c r="J2492" s="3"/>
      <c r="K2492" s="3"/>
      <c r="L2492" s="3"/>
    </row>
    <row r="2493" spans="2:12" x14ac:dyDescent="0.3">
      <c r="B2493" s="1"/>
      <c r="C2493" s="1"/>
      <c r="I2493" s="3"/>
      <c r="J2493" s="3"/>
      <c r="K2493" s="3"/>
      <c r="L2493" s="3"/>
    </row>
    <row r="2494" spans="2:12" x14ac:dyDescent="0.3">
      <c r="B2494" s="1"/>
      <c r="C2494" s="1"/>
      <c r="I2494" s="3"/>
      <c r="J2494" s="3"/>
      <c r="K2494" s="3"/>
      <c r="L2494" s="3"/>
    </row>
    <row r="2495" spans="2:12" x14ac:dyDescent="0.3">
      <c r="B2495" s="1"/>
      <c r="C2495" s="1"/>
      <c r="I2495" s="3"/>
      <c r="J2495" s="3"/>
      <c r="K2495" s="3"/>
      <c r="L2495" s="3"/>
    </row>
    <row r="2496" spans="2:12" x14ac:dyDescent="0.3">
      <c r="B2496" s="1"/>
      <c r="C2496" s="1"/>
      <c r="I2496" s="3"/>
      <c r="J2496" s="3"/>
      <c r="K2496" s="3"/>
      <c r="L2496" s="3"/>
    </row>
    <row r="2497" spans="2:12" x14ac:dyDescent="0.3">
      <c r="B2497" s="1"/>
      <c r="C2497" s="1"/>
      <c r="I2497" s="3"/>
      <c r="J2497" s="3"/>
      <c r="K2497" s="3"/>
      <c r="L2497" s="3"/>
    </row>
    <row r="2498" spans="2:12" x14ac:dyDescent="0.3">
      <c r="B2498" s="1"/>
      <c r="C2498" s="1"/>
      <c r="I2498" s="3"/>
      <c r="J2498" s="3"/>
      <c r="K2498" s="3"/>
      <c r="L2498" s="3"/>
    </row>
    <row r="2499" spans="2:12" x14ac:dyDescent="0.3">
      <c r="B2499" s="1"/>
      <c r="C2499" s="1"/>
      <c r="I2499" s="3"/>
      <c r="J2499" s="3"/>
      <c r="K2499" s="3"/>
      <c r="L2499" s="3"/>
    </row>
    <row r="2500" spans="2:12" x14ac:dyDescent="0.3">
      <c r="B2500" s="1"/>
      <c r="C2500" s="1"/>
      <c r="I2500" s="3"/>
      <c r="J2500" s="3"/>
      <c r="K2500" s="3"/>
      <c r="L2500" s="3"/>
    </row>
    <row r="2501" spans="2:12" x14ac:dyDescent="0.3">
      <c r="B2501" s="1"/>
      <c r="C2501" s="1"/>
      <c r="I2501" s="3"/>
      <c r="J2501" s="3"/>
      <c r="K2501" s="3"/>
      <c r="L2501" s="3"/>
    </row>
    <row r="2502" spans="2:12" x14ac:dyDescent="0.3">
      <c r="B2502" s="1"/>
      <c r="C2502" s="1"/>
      <c r="I2502" s="3"/>
      <c r="J2502" s="3"/>
      <c r="K2502" s="3"/>
      <c r="L2502" s="3"/>
    </row>
    <row r="2503" spans="2:12" x14ac:dyDescent="0.3">
      <c r="B2503" s="1"/>
      <c r="C2503" s="1"/>
      <c r="I2503" s="3"/>
      <c r="J2503" s="3"/>
      <c r="K2503" s="3"/>
      <c r="L2503" s="3"/>
    </row>
    <row r="2504" spans="2:12" x14ac:dyDescent="0.3">
      <c r="B2504" s="1"/>
      <c r="C2504" s="1"/>
      <c r="I2504" s="3"/>
      <c r="J2504" s="3"/>
      <c r="K2504" s="3"/>
      <c r="L2504" s="3"/>
    </row>
    <row r="2505" spans="2:12" x14ac:dyDescent="0.3">
      <c r="B2505" s="1"/>
      <c r="C2505" s="1"/>
      <c r="I2505" s="3"/>
      <c r="J2505" s="3"/>
      <c r="K2505" s="3"/>
      <c r="L2505" s="3"/>
    </row>
    <row r="2506" spans="2:12" x14ac:dyDescent="0.3">
      <c r="B2506" s="1"/>
      <c r="C2506" s="1"/>
      <c r="I2506" s="3"/>
      <c r="J2506" s="3"/>
      <c r="K2506" s="3"/>
      <c r="L2506" s="3"/>
    </row>
    <row r="2507" spans="2:12" x14ac:dyDescent="0.3">
      <c r="B2507" s="1"/>
      <c r="C2507" s="1"/>
      <c r="I2507" s="3"/>
      <c r="J2507" s="3"/>
      <c r="K2507" s="3"/>
      <c r="L2507" s="3"/>
    </row>
    <row r="2508" spans="2:12" x14ac:dyDescent="0.3">
      <c r="B2508" s="1"/>
      <c r="C2508" s="1"/>
      <c r="I2508" s="3"/>
      <c r="J2508" s="3"/>
      <c r="K2508" s="3"/>
      <c r="L2508" s="3"/>
    </row>
    <row r="2509" spans="2:12" x14ac:dyDescent="0.3">
      <c r="B2509" s="1"/>
      <c r="C2509" s="1"/>
      <c r="I2509" s="3"/>
      <c r="J2509" s="3"/>
      <c r="K2509" s="3"/>
      <c r="L2509" s="3"/>
    </row>
    <row r="2510" spans="2:12" x14ac:dyDescent="0.3">
      <c r="B2510" s="1"/>
      <c r="C2510" s="1"/>
      <c r="I2510" s="3"/>
      <c r="J2510" s="3"/>
      <c r="K2510" s="3"/>
      <c r="L2510" s="3"/>
    </row>
    <row r="2511" spans="2:12" x14ac:dyDescent="0.3">
      <c r="B2511" s="1"/>
      <c r="C2511" s="1"/>
      <c r="I2511" s="3"/>
      <c r="J2511" s="3"/>
      <c r="K2511" s="3"/>
      <c r="L2511" s="3"/>
    </row>
    <row r="2512" spans="2:12" x14ac:dyDescent="0.3">
      <c r="B2512" s="1"/>
      <c r="C2512" s="1"/>
      <c r="I2512" s="3"/>
      <c r="J2512" s="3"/>
      <c r="K2512" s="3"/>
      <c r="L2512" s="3"/>
    </row>
    <row r="2513" spans="2:12" x14ac:dyDescent="0.3">
      <c r="B2513" s="1"/>
      <c r="C2513" s="1"/>
      <c r="I2513" s="3"/>
      <c r="J2513" s="3"/>
      <c r="K2513" s="3"/>
      <c r="L2513" s="3"/>
    </row>
    <row r="2514" spans="2:12" x14ac:dyDescent="0.3">
      <c r="B2514" s="1"/>
      <c r="C2514" s="1"/>
      <c r="I2514" s="3"/>
      <c r="J2514" s="3"/>
      <c r="K2514" s="3"/>
      <c r="L2514" s="3"/>
    </row>
    <row r="2515" spans="2:12" x14ac:dyDescent="0.3">
      <c r="B2515" s="1"/>
      <c r="C2515" s="1"/>
      <c r="I2515" s="3"/>
      <c r="J2515" s="3"/>
      <c r="K2515" s="3"/>
      <c r="L2515" s="3"/>
    </row>
    <row r="2516" spans="2:12" x14ac:dyDescent="0.3">
      <c r="B2516" s="1"/>
      <c r="C2516" s="1"/>
      <c r="I2516" s="3"/>
      <c r="J2516" s="3"/>
      <c r="K2516" s="3"/>
      <c r="L2516" s="3"/>
    </row>
    <row r="2517" spans="2:12" x14ac:dyDescent="0.3">
      <c r="B2517" s="1"/>
      <c r="C2517" s="1"/>
      <c r="I2517" s="3"/>
      <c r="J2517" s="3"/>
      <c r="K2517" s="3"/>
      <c r="L2517" s="3"/>
    </row>
    <row r="2518" spans="2:12" x14ac:dyDescent="0.3">
      <c r="B2518" s="1"/>
      <c r="C2518" s="1"/>
      <c r="I2518" s="3"/>
      <c r="J2518" s="3"/>
      <c r="K2518" s="3"/>
      <c r="L2518" s="3"/>
    </row>
    <row r="2519" spans="2:12" x14ac:dyDescent="0.3">
      <c r="B2519" s="1"/>
      <c r="C2519" s="1"/>
      <c r="I2519" s="3"/>
      <c r="J2519" s="3"/>
      <c r="K2519" s="3"/>
      <c r="L2519" s="3"/>
    </row>
    <row r="2520" spans="2:12" x14ac:dyDescent="0.3">
      <c r="B2520" s="1"/>
      <c r="C2520" s="1"/>
      <c r="I2520" s="3"/>
      <c r="J2520" s="3"/>
      <c r="K2520" s="3"/>
      <c r="L2520" s="3"/>
    </row>
    <row r="2521" spans="2:12" x14ac:dyDescent="0.3">
      <c r="B2521" s="1"/>
      <c r="C2521" s="1"/>
      <c r="I2521" s="3"/>
      <c r="J2521" s="3"/>
      <c r="K2521" s="3"/>
      <c r="L2521" s="3"/>
    </row>
    <row r="2522" spans="2:12" x14ac:dyDescent="0.3">
      <c r="B2522" s="1"/>
      <c r="C2522" s="1"/>
      <c r="I2522" s="3"/>
      <c r="J2522" s="3"/>
      <c r="K2522" s="3"/>
      <c r="L2522" s="3"/>
    </row>
    <row r="2523" spans="2:12" x14ac:dyDescent="0.3">
      <c r="B2523" s="1"/>
      <c r="C2523" s="1"/>
      <c r="I2523" s="3"/>
      <c r="J2523" s="3"/>
      <c r="K2523" s="3"/>
      <c r="L2523" s="3"/>
    </row>
    <row r="2524" spans="2:12" x14ac:dyDescent="0.3">
      <c r="B2524" s="1"/>
      <c r="C2524" s="1"/>
      <c r="I2524" s="3"/>
      <c r="J2524" s="3"/>
      <c r="K2524" s="3"/>
      <c r="L2524" s="3"/>
    </row>
    <row r="2525" spans="2:12" x14ac:dyDescent="0.3">
      <c r="B2525" s="1"/>
      <c r="C2525" s="1"/>
      <c r="I2525" s="3"/>
      <c r="J2525" s="3"/>
      <c r="K2525" s="3"/>
      <c r="L2525" s="3"/>
    </row>
    <row r="2526" spans="2:12" x14ac:dyDescent="0.3">
      <c r="B2526" s="1"/>
      <c r="C2526" s="1"/>
      <c r="I2526" s="3"/>
      <c r="J2526" s="3"/>
      <c r="K2526" s="3"/>
      <c r="L2526" s="3"/>
    </row>
    <row r="2527" spans="2:12" x14ac:dyDescent="0.3">
      <c r="B2527" s="1"/>
      <c r="C2527" s="1"/>
      <c r="I2527" s="3"/>
      <c r="J2527" s="3"/>
      <c r="K2527" s="3"/>
      <c r="L2527" s="3"/>
    </row>
    <row r="2528" spans="2:12" x14ac:dyDescent="0.3">
      <c r="B2528" s="1"/>
      <c r="C2528" s="1"/>
      <c r="I2528" s="3"/>
      <c r="J2528" s="3"/>
      <c r="K2528" s="3"/>
      <c r="L2528" s="3"/>
    </row>
    <row r="2529" spans="2:12" x14ac:dyDescent="0.3">
      <c r="B2529" s="1"/>
      <c r="C2529" s="1"/>
      <c r="I2529" s="3"/>
      <c r="J2529" s="3"/>
      <c r="K2529" s="3"/>
      <c r="L2529" s="3"/>
    </row>
    <row r="2530" spans="2:12" x14ac:dyDescent="0.3">
      <c r="B2530" s="1"/>
      <c r="C2530" s="1"/>
      <c r="I2530" s="3"/>
      <c r="J2530" s="3"/>
      <c r="K2530" s="3"/>
      <c r="L2530" s="3"/>
    </row>
    <row r="2531" spans="2:12" x14ac:dyDescent="0.3">
      <c r="B2531" s="1"/>
      <c r="C2531" s="1"/>
      <c r="I2531" s="3"/>
      <c r="J2531" s="3"/>
      <c r="K2531" s="3"/>
      <c r="L2531" s="3"/>
    </row>
    <row r="2532" spans="2:12" x14ac:dyDescent="0.3">
      <c r="B2532" s="1"/>
      <c r="C2532" s="1"/>
      <c r="I2532" s="3"/>
      <c r="J2532" s="3"/>
      <c r="K2532" s="3"/>
      <c r="L2532" s="3"/>
    </row>
    <row r="2533" spans="2:12" x14ac:dyDescent="0.3">
      <c r="B2533" s="1"/>
      <c r="C2533" s="1"/>
      <c r="I2533" s="3"/>
      <c r="J2533" s="3"/>
      <c r="K2533" s="3"/>
      <c r="L2533" s="3"/>
    </row>
    <row r="2534" spans="2:12" x14ac:dyDescent="0.3">
      <c r="B2534" s="1"/>
      <c r="C2534" s="1"/>
      <c r="I2534" s="3"/>
      <c r="J2534" s="3"/>
      <c r="K2534" s="3"/>
      <c r="L2534" s="3"/>
    </row>
    <row r="2535" spans="2:12" x14ac:dyDescent="0.3">
      <c r="B2535" s="1"/>
      <c r="C2535" s="1"/>
      <c r="I2535" s="3"/>
      <c r="J2535" s="3"/>
      <c r="K2535" s="3"/>
      <c r="L2535" s="3"/>
    </row>
    <row r="2536" spans="2:12" x14ac:dyDescent="0.3">
      <c r="B2536" s="1"/>
      <c r="C2536" s="1"/>
      <c r="I2536" s="3"/>
      <c r="J2536" s="3"/>
      <c r="K2536" s="3"/>
      <c r="L2536" s="3"/>
    </row>
    <row r="2537" spans="2:12" x14ac:dyDescent="0.3">
      <c r="B2537" s="1"/>
      <c r="C2537" s="1"/>
      <c r="I2537" s="3"/>
      <c r="J2537" s="3"/>
      <c r="K2537" s="3"/>
      <c r="L2537" s="3"/>
    </row>
    <row r="2538" spans="2:12" x14ac:dyDescent="0.3">
      <c r="B2538" s="1"/>
      <c r="C2538" s="1"/>
      <c r="I2538" s="3"/>
      <c r="J2538" s="3"/>
      <c r="K2538" s="3"/>
      <c r="L2538" s="3"/>
    </row>
    <row r="2539" spans="2:12" x14ac:dyDescent="0.3">
      <c r="B2539" s="1"/>
      <c r="C2539" s="1"/>
      <c r="I2539" s="3"/>
      <c r="J2539" s="3"/>
      <c r="K2539" s="3"/>
      <c r="L2539" s="3"/>
    </row>
    <row r="2540" spans="2:12" x14ac:dyDescent="0.3">
      <c r="B2540" s="1"/>
      <c r="C2540" s="1"/>
      <c r="I2540" s="3"/>
      <c r="J2540" s="3"/>
      <c r="K2540" s="3"/>
      <c r="L2540" s="3"/>
    </row>
    <row r="2541" spans="2:12" x14ac:dyDescent="0.3">
      <c r="B2541" s="1"/>
      <c r="C2541" s="1"/>
      <c r="I2541" s="3"/>
      <c r="J2541" s="3"/>
      <c r="K2541" s="3"/>
      <c r="L2541" s="3"/>
    </row>
    <row r="2542" spans="2:12" x14ac:dyDescent="0.3">
      <c r="B2542" s="1"/>
      <c r="C2542" s="1"/>
      <c r="I2542" s="3"/>
      <c r="J2542" s="3"/>
      <c r="K2542" s="3"/>
      <c r="L2542" s="3"/>
    </row>
    <row r="2543" spans="2:12" x14ac:dyDescent="0.3">
      <c r="B2543" s="1"/>
      <c r="C2543" s="1"/>
      <c r="I2543" s="3"/>
      <c r="J2543" s="3"/>
      <c r="K2543" s="3"/>
      <c r="L2543" s="3"/>
    </row>
    <row r="2544" spans="2:12" x14ac:dyDescent="0.3">
      <c r="B2544" s="1"/>
      <c r="C2544" s="1"/>
      <c r="I2544" s="3"/>
      <c r="J2544" s="3"/>
      <c r="K2544" s="3"/>
      <c r="L2544" s="3"/>
    </row>
    <row r="2545" spans="2:12" x14ac:dyDescent="0.3">
      <c r="B2545" s="1"/>
      <c r="C2545" s="1"/>
      <c r="I2545" s="3"/>
      <c r="J2545" s="3"/>
      <c r="K2545" s="3"/>
      <c r="L2545" s="3"/>
    </row>
    <row r="2546" spans="2:12" x14ac:dyDescent="0.3">
      <c r="B2546" s="1"/>
      <c r="C2546" s="1"/>
      <c r="I2546" s="3"/>
      <c r="J2546" s="3"/>
      <c r="K2546" s="3"/>
      <c r="L2546" s="3"/>
    </row>
    <row r="2547" spans="2:12" x14ac:dyDescent="0.3">
      <c r="B2547" s="1"/>
      <c r="C2547" s="1"/>
      <c r="I2547" s="3"/>
      <c r="J2547" s="3"/>
      <c r="K2547" s="3"/>
      <c r="L2547" s="3"/>
    </row>
    <row r="2548" spans="2:12" x14ac:dyDescent="0.3">
      <c r="B2548" s="1"/>
      <c r="C2548" s="1"/>
      <c r="I2548" s="3"/>
      <c r="J2548" s="3"/>
      <c r="K2548" s="3"/>
      <c r="L2548" s="3"/>
    </row>
    <row r="2549" spans="2:12" x14ac:dyDescent="0.3">
      <c r="B2549" s="1"/>
      <c r="C2549" s="1"/>
      <c r="I2549" s="3"/>
      <c r="J2549" s="3"/>
      <c r="K2549" s="3"/>
      <c r="L2549" s="3"/>
    </row>
    <row r="2550" spans="2:12" x14ac:dyDescent="0.3">
      <c r="B2550" s="1"/>
      <c r="C2550" s="1"/>
      <c r="I2550" s="3"/>
      <c r="J2550" s="3"/>
      <c r="K2550" s="3"/>
      <c r="L2550" s="3"/>
    </row>
    <row r="2551" spans="2:12" x14ac:dyDescent="0.3">
      <c r="B2551" s="1"/>
      <c r="C2551" s="1"/>
      <c r="I2551" s="3"/>
      <c r="J2551" s="3"/>
      <c r="K2551" s="3"/>
      <c r="L2551" s="3"/>
    </row>
    <row r="2552" spans="2:12" x14ac:dyDescent="0.3">
      <c r="B2552" s="1"/>
      <c r="C2552" s="1"/>
      <c r="I2552" s="3"/>
      <c r="J2552" s="3"/>
      <c r="K2552" s="3"/>
      <c r="L2552" s="3"/>
    </row>
    <row r="2553" spans="2:12" x14ac:dyDescent="0.3">
      <c r="B2553" s="1"/>
      <c r="C2553" s="1"/>
      <c r="I2553" s="3"/>
      <c r="J2553" s="3"/>
      <c r="K2553" s="3"/>
      <c r="L2553" s="3"/>
    </row>
    <row r="2554" spans="2:12" x14ac:dyDescent="0.3">
      <c r="B2554" s="1"/>
      <c r="C2554" s="1"/>
      <c r="I2554" s="3"/>
      <c r="J2554" s="3"/>
      <c r="K2554" s="3"/>
      <c r="L2554" s="3"/>
    </row>
    <row r="2555" spans="2:12" x14ac:dyDescent="0.3">
      <c r="B2555" s="1"/>
      <c r="C2555" s="1"/>
      <c r="I2555" s="3"/>
      <c r="J2555" s="3"/>
      <c r="K2555" s="3"/>
      <c r="L2555" s="3"/>
    </row>
    <row r="2556" spans="2:12" x14ac:dyDescent="0.3">
      <c r="B2556" s="1"/>
      <c r="C2556" s="1"/>
      <c r="I2556" s="3"/>
      <c r="J2556" s="3"/>
      <c r="K2556" s="3"/>
      <c r="L2556" s="3"/>
    </row>
    <row r="2557" spans="2:12" x14ac:dyDescent="0.3">
      <c r="B2557" s="1"/>
      <c r="C2557" s="1"/>
      <c r="I2557" s="3"/>
      <c r="J2557" s="3"/>
      <c r="K2557" s="3"/>
      <c r="L2557" s="3"/>
    </row>
    <row r="2558" spans="2:12" x14ac:dyDescent="0.3">
      <c r="B2558" s="1"/>
      <c r="C2558" s="1"/>
      <c r="I2558" s="3"/>
      <c r="J2558" s="3"/>
      <c r="K2558" s="3"/>
      <c r="L2558" s="3"/>
    </row>
    <row r="2559" spans="2:12" x14ac:dyDescent="0.3">
      <c r="B2559" s="1"/>
      <c r="C2559" s="1"/>
      <c r="I2559" s="3"/>
      <c r="J2559" s="3"/>
      <c r="K2559" s="3"/>
      <c r="L2559" s="3"/>
    </row>
    <row r="2560" spans="2:12" x14ac:dyDescent="0.3">
      <c r="B2560" s="1"/>
      <c r="C2560" s="1"/>
      <c r="I2560" s="3"/>
      <c r="J2560" s="3"/>
      <c r="K2560" s="3"/>
      <c r="L2560" s="3"/>
    </row>
    <row r="2561" spans="2:12" x14ac:dyDescent="0.3">
      <c r="B2561" s="1"/>
      <c r="C2561" s="1"/>
      <c r="I2561" s="3"/>
      <c r="J2561" s="3"/>
      <c r="K2561" s="3"/>
      <c r="L2561" s="3"/>
    </row>
    <row r="2562" spans="2:12" x14ac:dyDescent="0.3">
      <c r="B2562" s="1"/>
      <c r="C2562" s="1"/>
      <c r="I2562" s="3"/>
      <c r="J2562" s="3"/>
      <c r="K2562" s="3"/>
      <c r="L2562" s="3"/>
    </row>
    <row r="2563" spans="2:12" x14ac:dyDescent="0.3">
      <c r="B2563" s="1"/>
      <c r="C2563" s="1"/>
      <c r="I2563" s="3"/>
      <c r="J2563" s="3"/>
      <c r="K2563" s="3"/>
      <c r="L2563" s="3"/>
    </row>
    <row r="2564" spans="2:12" x14ac:dyDescent="0.3">
      <c r="B2564" s="1"/>
      <c r="C2564" s="1"/>
      <c r="I2564" s="3"/>
      <c r="J2564" s="3"/>
      <c r="K2564" s="3"/>
      <c r="L2564" s="3"/>
    </row>
    <row r="2565" spans="2:12" x14ac:dyDescent="0.3">
      <c r="B2565" s="1"/>
      <c r="C2565" s="1"/>
      <c r="I2565" s="3"/>
      <c r="J2565" s="3"/>
      <c r="K2565" s="3"/>
      <c r="L2565" s="3"/>
    </row>
    <row r="2566" spans="2:12" x14ac:dyDescent="0.3">
      <c r="B2566" s="1"/>
      <c r="C2566" s="1"/>
      <c r="I2566" s="3"/>
      <c r="J2566" s="3"/>
      <c r="K2566" s="3"/>
      <c r="L2566" s="3"/>
    </row>
    <row r="2567" spans="2:12" x14ac:dyDescent="0.3">
      <c r="B2567" s="1"/>
      <c r="C2567" s="1"/>
      <c r="I2567" s="3"/>
      <c r="J2567" s="3"/>
      <c r="K2567" s="3"/>
      <c r="L2567" s="3"/>
    </row>
    <row r="2568" spans="2:12" x14ac:dyDescent="0.3">
      <c r="B2568" s="1"/>
      <c r="C2568" s="1"/>
      <c r="I2568" s="3"/>
      <c r="J2568" s="3"/>
      <c r="K2568" s="3"/>
      <c r="L2568" s="3"/>
    </row>
    <row r="2569" spans="2:12" x14ac:dyDescent="0.3">
      <c r="B2569" s="1"/>
      <c r="C2569" s="1"/>
      <c r="I2569" s="3"/>
      <c r="J2569" s="3"/>
      <c r="K2569" s="3"/>
      <c r="L2569" s="3"/>
    </row>
    <row r="2570" spans="2:12" x14ac:dyDescent="0.3">
      <c r="B2570" s="1"/>
      <c r="C2570" s="1"/>
      <c r="I2570" s="3"/>
      <c r="J2570" s="3"/>
      <c r="K2570" s="3"/>
      <c r="L2570" s="3"/>
    </row>
    <row r="2571" spans="2:12" x14ac:dyDescent="0.3">
      <c r="B2571" s="1"/>
      <c r="C2571" s="1"/>
      <c r="I2571" s="3"/>
      <c r="J2571" s="3"/>
      <c r="K2571" s="3"/>
      <c r="L2571" s="3"/>
    </row>
    <row r="2572" spans="2:12" x14ac:dyDescent="0.3">
      <c r="B2572" s="1"/>
      <c r="C2572" s="1"/>
      <c r="I2572" s="3"/>
      <c r="J2572" s="3"/>
      <c r="K2572" s="3"/>
      <c r="L2572" s="3"/>
    </row>
    <row r="2573" spans="2:12" x14ac:dyDescent="0.3">
      <c r="B2573" s="1"/>
      <c r="C2573" s="1"/>
      <c r="I2573" s="3"/>
      <c r="J2573" s="3"/>
      <c r="K2573" s="3"/>
      <c r="L2573" s="3"/>
    </row>
    <row r="2574" spans="2:12" x14ac:dyDescent="0.3">
      <c r="B2574" s="1"/>
      <c r="C2574" s="1"/>
      <c r="I2574" s="3"/>
      <c r="J2574" s="3"/>
      <c r="K2574" s="3"/>
      <c r="L2574" s="3"/>
    </row>
    <row r="2575" spans="2:12" x14ac:dyDescent="0.3">
      <c r="B2575" s="1"/>
      <c r="C2575" s="1"/>
      <c r="I2575" s="3"/>
      <c r="J2575" s="3"/>
      <c r="K2575" s="3"/>
      <c r="L2575" s="3"/>
    </row>
    <row r="2576" spans="2:12" x14ac:dyDescent="0.3">
      <c r="B2576" s="1"/>
      <c r="C2576" s="1"/>
      <c r="I2576" s="3"/>
      <c r="J2576" s="3"/>
      <c r="K2576" s="3"/>
      <c r="L2576" s="3"/>
    </row>
    <row r="2577" spans="2:12" x14ac:dyDescent="0.3">
      <c r="B2577" s="1"/>
      <c r="C2577" s="1"/>
      <c r="I2577" s="3"/>
      <c r="J2577" s="3"/>
      <c r="K2577" s="3"/>
      <c r="L2577" s="3"/>
    </row>
    <row r="2578" spans="2:12" x14ac:dyDescent="0.3">
      <c r="B2578" s="1"/>
      <c r="C2578" s="1"/>
      <c r="I2578" s="3"/>
      <c r="J2578" s="3"/>
      <c r="K2578" s="3"/>
      <c r="L2578" s="3"/>
    </row>
    <row r="2579" spans="2:12" x14ac:dyDescent="0.3">
      <c r="B2579" s="1"/>
      <c r="C2579" s="1"/>
      <c r="I2579" s="3"/>
      <c r="J2579" s="3"/>
      <c r="K2579" s="3"/>
      <c r="L2579" s="3"/>
    </row>
    <row r="2580" spans="2:12" x14ac:dyDescent="0.3">
      <c r="B2580" s="1"/>
      <c r="C2580" s="1"/>
      <c r="I2580" s="3"/>
      <c r="J2580" s="3"/>
      <c r="K2580" s="3"/>
      <c r="L2580" s="3"/>
    </row>
    <row r="2581" spans="2:12" x14ac:dyDescent="0.3">
      <c r="B2581" s="1"/>
      <c r="C2581" s="1"/>
      <c r="I2581" s="3"/>
      <c r="J2581" s="3"/>
      <c r="K2581" s="3"/>
      <c r="L2581" s="3"/>
    </row>
    <row r="2582" spans="2:12" x14ac:dyDescent="0.3">
      <c r="B2582" s="1"/>
      <c r="C2582" s="1"/>
      <c r="I2582" s="3"/>
      <c r="J2582" s="3"/>
      <c r="K2582" s="3"/>
      <c r="L2582" s="3"/>
    </row>
    <row r="2583" spans="2:12" x14ac:dyDescent="0.3">
      <c r="B2583" s="1"/>
      <c r="C2583" s="1"/>
      <c r="I2583" s="3"/>
      <c r="J2583" s="3"/>
      <c r="K2583" s="3"/>
      <c r="L2583" s="3"/>
    </row>
    <row r="2584" spans="2:12" x14ac:dyDescent="0.3">
      <c r="B2584" s="1"/>
      <c r="C2584" s="1"/>
      <c r="I2584" s="3"/>
      <c r="J2584" s="3"/>
      <c r="K2584" s="3"/>
      <c r="L2584" s="3"/>
    </row>
    <row r="2585" spans="2:12" x14ac:dyDescent="0.3">
      <c r="B2585" s="1"/>
      <c r="C2585" s="1"/>
      <c r="I2585" s="3"/>
      <c r="J2585" s="3"/>
      <c r="K2585" s="3"/>
      <c r="L2585" s="3"/>
    </row>
    <row r="2586" spans="2:12" x14ac:dyDescent="0.3">
      <c r="B2586" s="1"/>
      <c r="C2586" s="1"/>
      <c r="I2586" s="3"/>
      <c r="J2586" s="3"/>
      <c r="K2586" s="3"/>
      <c r="L2586" s="3"/>
    </row>
    <row r="2587" spans="2:12" x14ac:dyDescent="0.3">
      <c r="B2587" s="1"/>
      <c r="C2587" s="1"/>
      <c r="I2587" s="3"/>
      <c r="J2587" s="3"/>
      <c r="K2587" s="3"/>
      <c r="L2587" s="3"/>
    </row>
    <row r="2588" spans="2:12" x14ac:dyDescent="0.3">
      <c r="B2588" s="1"/>
      <c r="C2588" s="1"/>
      <c r="I2588" s="3"/>
      <c r="J2588" s="3"/>
      <c r="K2588" s="3"/>
      <c r="L2588" s="3"/>
    </row>
    <row r="2589" spans="2:12" x14ac:dyDescent="0.3">
      <c r="B2589" s="1"/>
      <c r="C2589" s="1"/>
      <c r="I2589" s="3"/>
      <c r="J2589" s="3"/>
      <c r="K2589" s="3"/>
      <c r="L2589" s="3"/>
    </row>
    <row r="2590" spans="2:12" x14ac:dyDescent="0.3">
      <c r="B2590" s="1"/>
      <c r="C2590" s="1"/>
      <c r="I2590" s="3"/>
      <c r="J2590" s="3"/>
      <c r="K2590" s="3"/>
      <c r="L2590" s="3"/>
    </row>
    <row r="2591" spans="2:12" x14ac:dyDescent="0.3">
      <c r="B2591" s="1"/>
      <c r="C2591" s="1"/>
      <c r="I2591" s="3"/>
      <c r="J2591" s="3"/>
      <c r="K2591" s="3"/>
      <c r="L2591" s="3"/>
    </row>
    <row r="2592" spans="2:12" x14ac:dyDescent="0.3">
      <c r="B2592" s="1"/>
      <c r="C2592" s="1"/>
      <c r="I2592" s="3"/>
      <c r="J2592" s="3"/>
      <c r="K2592" s="3"/>
      <c r="L2592" s="3"/>
    </row>
    <row r="2593" spans="2:12" x14ac:dyDescent="0.3">
      <c r="B2593" s="1"/>
      <c r="C2593" s="1"/>
      <c r="I2593" s="3"/>
      <c r="J2593" s="3"/>
      <c r="K2593" s="3"/>
      <c r="L2593" s="3"/>
    </row>
    <row r="2594" spans="2:12" x14ac:dyDescent="0.3">
      <c r="B2594" s="1"/>
      <c r="C2594" s="1"/>
      <c r="I2594" s="3"/>
      <c r="J2594" s="3"/>
      <c r="K2594" s="3"/>
      <c r="L2594" s="3"/>
    </row>
    <row r="2595" spans="2:12" x14ac:dyDescent="0.3">
      <c r="B2595" s="1"/>
      <c r="C2595" s="1"/>
      <c r="I2595" s="3"/>
      <c r="J2595" s="3"/>
      <c r="K2595" s="3"/>
      <c r="L2595" s="3"/>
    </row>
    <row r="2596" spans="2:12" x14ac:dyDescent="0.3">
      <c r="B2596" s="1"/>
      <c r="C2596" s="1"/>
      <c r="I2596" s="3"/>
      <c r="J2596" s="3"/>
      <c r="K2596" s="3"/>
      <c r="L2596" s="3"/>
    </row>
    <row r="2597" spans="2:12" x14ac:dyDescent="0.3">
      <c r="B2597" s="1"/>
      <c r="C2597" s="1"/>
      <c r="I2597" s="3"/>
      <c r="J2597" s="3"/>
      <c r="K2597" s="3"/>
      <c r="L2597" s="3"/>
    </row>
    <row r="2598" spans="2:12" x14ac:dyDescent="0.3">
      <c r="B2598" s="1"/>
      <c r="C2598" s="1"/>
      <c r="I2598" s="3"/>
      <c r="J2598" s="3"/>
      <c r="K2598" s="3"/>
      <c r="L2598" s="3"/>
    </row>
    <row r="2599" spans="2:12" x14ac:dyDescent="0.3">
      <c r="B2599" s="1"/>
      <c r="C2599" s="1"/>
      <c r="I2599" s="3"/>
      <c r="J2599" s="3"/>
      <c r="K2599" s="3"/>
      <c r="L2599" s="3"/>
    </row>
    <row r="2600" spans="2:12" x14ac:dyDescent="0.3">
      <c r="B2600" s="1"/>
      <c r="C2600" s="1"/>
      <c r="I2600" s="3"/>
      <c r="J2600" s="3"/>
      <c r="K2600" s="3"/>
      <c r="L2600" s="3"/>
    </row>
    <row r="2601" spans="2:12" x14ac:dyDescent="0.3">
      <c r="B2601" s="1"/>
      <c r="C2601" s="1"/>
      <c r="I2601" s="3"/>
      <c r="J2601" s="3"/>
      <c r="K2601" s="3"/>
      <c r="L2601" s="3"/>
    </row>
    <row r="2602" spans="2:12" x14ac:dyDescent="0.3">
      <c r="B2602" s="1"/>
      <c r="C2602" s="1"/>
      <c r="I2602" s="3"/>
      <c r="J2602" s="3"/>
      <c r="K2602" s="3"/>
      <c r="L2602" s="3"/>
    </row>
    <row r="2603" spans="2:12" x14ac:dyDescent="0.3">
      <c r="B2603" s="1"/>
      <c r="C2603" s="1"/>
      <c r="I2603" s="3"/>
      <c r="J2603" s="3"/>
      <c r="K2603" s="3"/>
      <c r="L2603" s="3"/>
    </row>
    <row r="2604" spans="2:12" x14ac:dyDescent="0.3">
      <c r="B2604" s="1"/>
      <c r="C2604" s="1"/>
      <c r="I2604" s="3"/>
      <c r="J2604" s="3"/>
      <c r="K2604" s="3"/>
      <c r="L2604" s="3"/>
    </row>
    <row r="2605" spans="2:12" x14ac:dyDescent="0.3">
      <c r="B2605" s="1"/>
      <c r="C2605" s="1"/>
      <c r="I2605" s="3"/>
      <c r="J2605" s="3"/>
      <c r="K2605" s="3"/>
      <c r="L2605" s="3"/>
    </row>
    <row r="2606" spans="2:12" x14ac:dyDescent="0.3">
      <c r="B2606" s="1"/>
      <c r="C2606" s="1"/>
      <c r="I2606" s="3"/>
      <c r="J2606" s="3"/>
      <c r="K2606" s="3"/>
      <c r="L2606" s="3"/>
    </row>
    <row r="2607" spans="2:12" x14ac:dyDescent="0.3">
      <c r="B2607" s="1"/>
      <c r="C2607" s="1"/>
      <c r="I2607" s="3"/>
      <c r="J2607" s="3"/>
      <c r="K2607" s="3"/>
      <c r="L2607" s="3"/>
    </row>
    <row r="2608" spans="2:12" x14ac:dyDescent="0.3">
      <c r="B2608" s="1"/>
      <c r="C2608" s="1"/>
      <c r="I2608" s="3"/>
      <c r="J2608" s="3"/>
      <c r="K2608" s="3"/>
      <c r="L2608" s="3"/>
    </row>
    <row r="2609" spans="2:12" x14ac:dyDescent="0.3">
      <c r="B2609" s="1"/>
      <c r="C2609" s="1"/>
      <c r="I2609" s="3"/>
      <c r="J2609" s="3"/>
      <c r="K2609" s="3"/>
      <c r="L2609" s="3"/>
    </row>
    <row r="2610" spans="2:12" x14ac:dyDescent="0.3">
      <c r="B2610" s="1"/>
      <c r="C2610" s="1"/>
      <c r="I2610" s="3"/>
      <c r="J2610" s="3"/>
      <c r="K2610" s="3"/>
      <c r="L2610" s="3"/>
    </row>
    <row r="2611" spans="2:12" x14ac:dyDescent="0.3">
      <c r="B2611" s="1"/>
      <c r="C2611" s="1"/>
      <c r="I2611" s="3"/>
      <c r="J2611" s="3"/>
      <c r="K2611" s="3"/>
      <c r="L2611" s="3"/>
    </row>
    <row r="2612" spans="2:12" x14ac:dyDescent="0.3">
      <c r="B2612" s="1"/>
      <c r="C2612" s="1"/>
      <c r="I2612" s="3"/>
      <c r="J2612" s="3"/>
      <c r="K2612" s="3"/>
      <c r="L2612" s="3"/>
    </row>
    <row r="2613" spans="2:12" x14ac:dyDescent="0.3">
      <c r="B2613" s="1"/>
      <c r="C2613" s="1"/>
      <c r="I2613" s="3"/>
      <c r="J2613" s="3"/>
      <c r="K2613" s="3"/>
      <c r="L2613" s="3"/>
    </row>
    <row r="2614" spans="2:12" x14ac:dyDescent="0.3">
      <c r="B2614" s="1"/>
      <c r="C2614" s="1"/>
      <c r="I2614" s="3"/>
      <c r="J2614" s="3"/>
      <c r="K2614" s="3"/>
      <c r="L2614" s="3"/>
    </row>
    <row r="2615" spans="2:12" x14ac:dyDescent="0.3">
      <c r="B2615" s="1"/>
      <c r="C2615" s="1"/>
      <c r="I2615" s="3"/>
      <c r="J2615" s="3"/>
      <c r="K2615" s="3"/>
      <c r="L2615" s="3"/>
    </row>
    <row r="2616" spans="2:12" x14ac:dyDescent="0.3">
      <c r="B2616" s="1"/>
      <c r="C2616" s="1"/>
      <c r="I2616" s="3"/>
      <c r="J2616" s="3"/>
      <c r="K2616" s="3"/>
      <c r="L2616" s="3"/>
    </row>
    <row r="2617" spans="2:12" x14ac:dyDescent="0.3">
      <c r="B2617" s="1"/>
      <c r="C2617" s="1"/>
      <c r="I2617" s="3"/>
      <c r="J2617" s="3"/>
      <c r="K2617" s="3"/>
      <c r="L2617" s="3"/>
    </row>
    <row r="2618" spans="2:12" x14ac:dyDescent="0.3">
      <c r="B2618" s="1"/>
      <c r="C2618" s="1"/>
      <c r="I2618" s="3"/>
      <c r="J2618" s="3"/>
      <c r="K2618" s="3"/>
      <c r="L2618" s="3"/>
    </row>
    <row r="2619" spans="2:12" x14ac:dyDescent="0.3">
      <c r="B2619" s="1"/>
      <c r="C2619" s="1"/>
      <c r="I2619" s="3"/>
      <c r="J2619" s="3"/>
      <c r="K2619" s="3"/>
      <c r="L2619" s="3"/>
    </row>
    <row r="2620" spans="2:12" x14ac:dyDescent="0.3">
      <c r="B2620" s="1"/>
      <c r="C2620" s="1"/>
      <c r="I2620" s="3"/>
      <c r="J2620" s="3"/>
      <c r="K2620" s="3"/>
      <c r="L2620" s="3"/>
    </row>
    <row r="2621" spans="2:12" x14ac:dyDescent="0.3">
      <c r="B2621" s="1"/>
      <c r="C2621" s="1"/>
      <c r="I2621" s="3"/>
      <c r="J2621" s="3"/>
      <c r="K2621" s="3"/>
      <c r="L2621" s="3"/>
    </row>
    <row r="2622" spans="2:12" x14ac:dyDescent="0.3">
      <c r="B2622" s="1"/>
      <c r="C2622" s="1"/>
      <c r="I2622" s="3"/>
      <c r="J2622" s="3"/>
      <c r="K2622" s="3"/>
      <c r="L2622" s="3"/>
    </row>
    <row r="2623" spans="2:12" x14ac:dyDescent="0.3">
      <c r="B2623" s="1"/>
      <c r="C2623" s="1"/>
      <c r="I2623" s="3"/>
      <c r="J2623" s="3"/>
      <c r="K2623" s="3"/>
      <c r="L2623" s="3"/>
    </row>
    <row r="2624" spans="2:12" x14ac:dyDescent="0.3">
      <c r="B2624" s="1"/>
      <c r="C2624" s="1"/>
      <c r="I2624" s="3"/>
      <c r="J2624" s="3"/>
      <c r="K2624" s="3"/>
      <c r="L2624" s="3"/>
    </row>
    <row r="2625" spans="2:12" x14ac:dyDescent="0.3">
      <c r="B2625" s="1"/>
      <c r="C2625" s="1"/>
      <c r="I2625" s="3"/>
      <c r="J2625" s="3"/>
      <c r="K2625" s="3"/>
      <c r="L2625" s="3"/>
    </row>
    <row r="2626" spans="2:12" x14ac:dyDescent="0.3">
      <c r="B2626" s="1"/>
      <c r="C2626" s="1"/>
      <c r="I2626" s="3"/>
      <c r="J2626" s="3"/>
      <c r="K2626" s="3"/>
      <c r="L2626" s="3"/>
    </row>
    <row r="2627" spans="2:12" x14ac:dyDescent="0.3">
      <c r="B2627" s="1"/>
      <c r="C2627" s="1"/>
      <c r="I2627" s="3"/>
      <c r="J2627" s="3"/>
      <c r="K2627" s="3"/>
      <c r="L2627" s="3"/>
    </row>
    <row r="2628" spans="2:12" x14ac:dyDescent="0.3">
      <c r="B2628" s="1"/>
      <c r="C2628" s="1"/>
      <c r="I2628" s="3"/>
      <c r="J2628" s="3"/>
      <c r="K2628" s="3"/>
      <c r="L2628" s="3"/>
    </row>
    <row r="2629" spans="2:12" x14ac:dyDescent="0.3">
      <c r="B2629" s="1"/>
      <c r="C2629" s="1"/>
      <c r="I2629" s="3"/>
      <c r="J2629" s="3"/>
      <c r="K2629" s="3"/>
      <c r="L2629" s="3"/>
    </row>
    <row r="2630" spans="2:12" x14ac:dyDescent="0.3">
      <c r="B2630" s="1"/>
      <c r="C2630" s="1"/>
      <c r="I2630" s="3"/>
      <c r="J2630" s="3"/>
      <c r="K2630" s="3"/>
      <c r="L2630" s="3"/>
    </row>
    <row r="2631" spans="2:12" x14ac:dyDescent="0.3">
      <c r="B2631" s="1"/>
      <c r="C2631" s="1"/>
      <c r="I2631" s="3"/>
      <c r="J2631" s="3"/>
      <c r="K2631" s="3"/>
      <c r="L2631" s="3"/>
    </row>
    <row r="2632" spans="2:12" x14ac:dyDescent="0.3">
      <c r="B2632" s="1"/>
      <c r="C2632" s="1"/>
      <c r="I2632" s="3"/>
      <c r="J2632" s="3"/>
      <c r="K2632" s="3"/>
      <c r="L2632" s="3"/>
    </row>
    <row r="2633" spans="2:12" x14ac:dyDescent="0.3">
      <c r="B2633" s="1"/>
      <c r="C2633" s="1"/>
      <c r="I2633" s="3"/>
      <c r="J2633" s="3"/>
      <c r="K2633" s="3"/>
      <c r="L2633" s="3"/>
    </row>
    <row r="2634" spans="2:12" x14ac:dyDescent="0.3">
      <c r="B2634" s="1"/>
      <c r="C2634" s="1"/>
      <c r="I2634" s="3"/>
      <c r="J2634" s="3"/>
      <c r="K2634" s="3"/>
      <c r="L2634" s="3"/>
    </row>
    <row r="2635" spans="2:12" x14ac:dyDescent="0.3">
      <c r="B2635" s="1"/>
      <c r="C2635" s="1"/>
      <c r="I2635" s="3"/>
      <c r="J2635" s="3"/>
      <c r="K2635" s="3"/>
      <c r="L2635" s="3"/>
    </row>
    <row r="2636" spans="2:12" x14ac:dyDescent="0.3">
      <c r="B2636" s="1"/>
      <c r="C2636" s="1"/>
      <c r="I2636" s="3"/>
      <c r="J2636" s="3"/>
      <c r="K2636" s="3"/>
      <c r="L2636" s="3"/>
    </row>
    <row r="2637" spans="2:12" x14ac:dyDescent="0.3">
      <c r="B2637" s="1"/>
      <c r="C2637" s="1"/>
      <c r="I2637" s="3"/>
      <c r="J2637" s="3"/>
      <c r="K2637" s="3"/>
      <c r="L2637" s="3"/>
    </row>
    <row r="2638" spans="2:12" x14ac:dyDescent="0.3">
      <c r="B2638" s="1"/>
      <c r="C2638" s="1"/>
      <c r="I2638" s="3"/>
      <c r="J2638" s="3"/>
      <c r="K2638" s="3"/>
      <c r="L2638" s="3"/>
    </row>
    <row r="2639" spans="2:12" x14ac:dyDescent="0.3">
      <c r="B2639" s="1"/>
      <c r="C2639" s="1"/>
      <c r="I2639" s="3"/>
      <c r="J2639" s="3"/>
      <c r="K2639" s="3"/>
      <c r="L2639" s="3"/>
    </row>
    <row r="2640" spans="2:12" x14ac:dyDescent="0.3">
      <c r="B2640" s="1"/>
      <c r="C2640" s="1"/>
      <c r="I2640" s="3"/>
      <c r="J2640" s="3"/>
      <c r="K2640" s="3"/>
      <c r="L2640" s="3"/>
    </row>
    <row r="2641" spans="2:12" x14ac:dyDescent="0.3">
      <c r="B2641" s="1"/>
      <c r="C2641" s="1"/>
      <c r="I2641" s="3"/>
      <c r="J2641" s="3"/>
      <c r="K2641" s="3"/>
      <c r="L2641" s="3"/>
    </row>
    <row r="2642" spans="2:12" x14ac:dyDescent="0.3">
      <c r="B2642" s="1"/>
      <c r="C2642" s="1"/>
      <c r="I2642" s="3"/>
      <c r="J2642" s="3"/>
      <c r="K2642" s="3"/>
      <c r="L2642" s="3"/>
    </row>
    <row r="2643" spans="2:12" x14ac:dyDescent="0.3">
      <c r="B2643" s="1"/>
      <c r="C2643" s="1"/>
      <c r="I2643" s="3"/>
      <c r="J2643" s="3"/>
      <c r="K2643" s="3"/>
      <c r="L2643" s="3"/>
    </row>
    <row r="2644" spans="2:12" x14ac:dyDescent="0.3">
      <c r="B2644" s="1"/>
      <c r="C2644" s="1"/>
      <c r="I2644" s="3"/>
      <c r="J2644" s="3"/>
      <c r="K2644" s="3"/>
      <c r="L2644" s="3"/>
    </row>
    <row r="2645" spans="2:12" x14ac:dyDescent="0.3">
      <c r="B2645" s="1"/>
      <c r="C2645" s="1"/>
      <c r="I2645" s="3"/>
      <c r="J2645" s="3"/>
      <c r="K2645" s="3"/>
      <c r="L2645" s="3"/>
    </row>
    <row r="2646" spans="2:12" x14ac:dyDescent="0.3">
      <c r="B2646" s="1"/>
      <c r="C2646" s="1"/>
      <c r="I2646" s="3"/>
      <c r="J2646" s="3"/>
      <c r="K2646" s="3"/>
      <c r="L2646" s="3"/>
    </row>
    <row r="2647" spans="2:12" x14ac:dyDescent="0.3">
      <c r="B2647" s="1"/>
      <c r="C2647" s="1"/>
      <c r="I2647" s="3"/>
      <c r="J2647" s="3"/>
      <c r="K2647" s="3"/>
      <c r="L2647" s="3"/>
    </row>
    <row r="2648" spans="2:12" x14ac:dyDescent="0.3">
      <c r="B2648" s="1"/>
      <c r="C2648" s="1"/>
      <c r="I2648" s="3"/>
      <c r="J2648" s="3"/>
      <c r="K2648" s="3"/>
      <c r="L2648" s="3"/>
    </row>
    <row r="2649" spans="2:12" x14ac:dyDescent="0.3">
      <c r="B2649" s="1"/>
      <c r="C2649" s="1"/>
      <c r="I2649" s="3"/>
      <c r="J2649" s="3"/>
      <c r="K2649" s="3"/>
      <c r="L2649" s="3"/>
    </row>
    <row r="2650" spans="2:12" x14ac:dyDescent="0.3">
      <c r="B2650" s="1"/>
      <c r="C2650" s="1"/>
      <c r="I2650" s="3"/>
      <c r="J2650" s="3"/>
      <c r="K2650" s="3"/>
      <c r="L2650" s="3"/>
    </row>
    <row r="2651" spans="2:12" x14ac:dyDescent="0.3">
      <c r="B2651" s="1"/>
      <c r="C2651" s="1"/>
      <c r="I2651" s="3"/>
      <c r="J2651" s="3"/>
      <c r="K2651" s="3"/>
      <c r="L2651" s="3"/>
    </row>
    <row r="2652" spans="2:12" x14ac:dyDescent="0.3">
      <c r="B2652" s="1"/>
      <c r="C2652" s="1"/>
      <c r="I2652" s="3"/>
      <c r="J2652" s="3"/>
      <c r="K2652" s="3"/>
      <c r="L2652" s="3"/>
    </row>
    <row r="2653" spans="2:12" x14ac:dyDescent="0.3">
      <c r="B2653" s="1"/>
      <c r="C2653" s="1"/>
      <c r="I2653" s="3"/>
      <c r="J2653" s="3"/>
      <c r="K2653" s="3"/>
      <c r="L2653" s="3"/>
    </row>
    <row r="2654" spans="2:12" x14ac:dyDescent="0.3">
      <c r="B2654" s="1"/>
      <c r="C2654" s="1"/>
      <c r="I2654" s="3"/>
      <c r="J2654" s="3"/>
      <c r="K2654" s="3"/>
      <c r="L2654" s="3"/>
    </row>
    <row r="2655" spans="2:12" x14ac:dyDescent="0.3">
      <c r="B2655" s="1"/>
      <c r="C2655" s="1"/>
      <c r="I2655" s="3"/>
      <c r="J2655" s="3"/>
      <c r="K2655" s="3"/>
      <c r="L2655" s="3"/>
    </row>
    <row r="2656" spans="2:12" x14ac:dyDescent="0.3">
      <c r="B2656" s="1"/>
      <c r="C2656" s="1"/>
      <c r="I2656" s="3"/>
      <c r="J2656" s="3"/>
      <c r="K2656" s="3"/>
      <c r="L2656" s="3"/>
    </row>
    <row r="2657" spans="2:12" x14ac:dyDescent="0.3">
      <c r="B2657" s="1"/>
      <c r="C2657" s="1"/>
      <c r="I2657" s="3"/>
      <c r="J2657" s="3"/>
      <c r="K2657" s="3"/>
      <c r="L2657" s="3"/>
    </row>
    <row r="2658" spans="2:12" x14ac:dyDescent="0.3">
      <c r="B2658" s="1"/>
      <c r="C2658" s="1"/>
      <c r="I2658" s="3"/>
      <c r="J2658" s="3"/>
      <c r="K2658" s="3"/>
      <c r="L2658" s="3"/>
    </row>
    <row r="2659" spans="2:12" x14ac:dyDescent="0.3">
      <c r="B2659" s="1"/>
      <c r="C2659" s="1"/>
      <c r="I2659" s="3"/>
      <c r="J2659" s="3"/>
      <c r="K2659" s="3"/>
      <c r="L2659" s="3"/>
    </row>
    <row r="2660" spans="2:12" x14ac:dyDescent="0.3">
      <c r="B2660" s="1"/>
      <c r="C2660" s="1"/>
      <c r="I2660" s="3"/>
      <c r="J2660" s="3"/>
      <c r="K2660" s="3"/>
      <c r="L2660" s="3"/>
    </row>
    <row r="2661" spans="2:12" x14ac:dyDescent="0.3">
      <c r="B2661" s="1"/>
      <c r="C2661" s="1"/>
      <c r="I2661" s="3"/>
      <c r="J2661" s="3"/>
      <c r="K2661" s="3"/>
      <c r="L2661" s="3"/>
    </row>
    <row r="2662" spans="2:12" x14ac:dyDescent="0.3">
      <c r="B2662" s="1"/>
      <c r="C2662" s="1"/>
      <c r="I2662" s="3"/>
      <c r="J2662" s="3"/>
      <c r="K2662" s="3"/>
      <c r="L2662" s="3"/>
    </row>
    <row r="2663" spans="2:12" x14ac:dyDescent="0.3">
      <c r="B2663" s="1"/>
      <c r="C2663" s="1"/>
      <c r="I2663" s="3"/>
      <c r="J2663" s="3"/>
      <c r="K2663" s="3"/>
      <c r="L2663" s="3"/>
    </row>
    <row r="2664" spans="2:12" x14ac:dyDescent="0.3">
      <c r="B2664" s="1"/>
      <c r="C2664" s="1"/>
      <c r="I2664" s="3"/>
      <c r="J2664" s="3"/>
      <c r="K2664" s="3"/>
      <c r="L2664" s="3"/>
    </row>
    <row r="2665" spans="2:12" x14ac:dyDescent="0.3">
      <c r="B2665" s="1"/>
      <c r="C2665" s="1"/>
      <c r="I2665" s="3"/>
      <c r="J2665" s="3"/>
      <c r="K2665" s="3"/>
      <c r="L2665" s="3"/>
    </row>
    <row r="2666" spans="2:12" x14ac:dyDescent="0.3">
      <c r="B2666" s="1"/>
      <c r="C2666" s="1"/>
      <c r="I2666" s="3"/>
      <c r="J2666" s="3"/>
      <c r="K2666" s="3"/>
      <c r="L2666" s="3"/>
    </row>
    <row r="2667" spans="2:12" x14ac:dyDescent="0.3">
      <c r="B2667" s="1"/>
      <c r="C2667" s="1"/>
      <c r="I2667" s="3"/>
      <c r="J2667" s="3"/>
      <c r="K2667" s="3"/>
      <c r="L2667" s="3"/>
    </row>
    <row r="2668" spans="2:12" x14ac:dyDescent="0.3">
      <c r="B2668" s="1"/>
      <c r="C2668" s="1"/>
      <c r="I2668" s="3"/>
      <c r="J2668" s="3"/>
      <c r="K2668" s="3"/>
      <c r="L2668" s="3"/>
    </row>
    <row r="2669" spans="2:12" x14ac:dyDescent="0.3">
      <c r="B2669" s="1"/>
      <c r="C2669" s="1"/>
      <c r="I2669" s="3"/>
      <c r="J2669" s="3"/>
      <c r="K2669" s="3"/>
      <c r="L2669" s="3"/>
    </row>
    <row r="2670" spans="2:12" x14ac:dyDescent="0.3">
      <c r="B2670" s="1"/>
      <c r="C2670" s="1"/>
      <c r="I2670" s="3"/>
      <c r="J2670" s="3"/>
      <c r="K2670" s="3"/>
      <c r="L2670" s="3"/>
    </row>
    <row r="2671" spans="2:12" x14ac:dyDescent="0.3">
      <c r="B2671" s="1"/>
      <c r="C2671" s="1"/>
      <c r="I2671" s="3"/>
      <c r="J2671" s="3"/>
      <c r="K2671" s="3"/>
      <c r="L2671" s="3"/>
    </row>
    <row r="2672" spans="2:12" x14ac:dyDescent="0.3">
      <c r="B2672" s="1"/>
      <c r="C2672" s="1"/>
      <c r="I2672" s="3"/>
      <c r="J2672" s="3"/>
      <c r="K2672" s="3"/>
      <c r="L2672" s="3"/>
    </row>
    <row r="2673" spans="2:12" x14ac:dyDescent="0.3">
      <c r="B2673" s="1"/>
      <c r="C2673" s="1"/>
      <c r="I2673" s="3"/>
      <c r="J2673" s="3"/>
      <c r="K2673" s="3"/>
      <c r="L2673" s="3"/>
    </row>
    <row r="2674" spans="2:12" x14ac:dyDescent="0.3">
      <c r="B2674" s="1"/>
      <c r="C2674" s="1"/>
      <c r="I2674" s="3"/>
      <c r="J2674" s="3"/>
      <c r="K2674" s="3"/>
      <c r="L2674" s="3"/>
    </row>
    <row r="2675" spans="2:12" x14ac:dyDescent="0.3">
      <c r="B2675" s="1"/>
      <c r="C2675" s="1"/>
      <c r="I2675" s="3"/>
      <c r="J2675" s="3"/>
      <c r="K2675" s="3"/>
      <c r="L2675" s="3"/>
    </row>
    <row r="2676" spans="2:12" x14ac:dyDescent="0.3">
      <c r="B2676" s="1"/>
      <c r="C2676" s="1"/>
      <c r="I2676" s="3"/>
      <c r="J2676" s="3"/>
      <c r="K2676" s="3"/>
      <c r="L2676" s="3"/>
    </row>
    <row r="2677" spans="2:12" x14ac:dyDescent="0.3">
      <c r="B2677" s="1"/>
      <c r="C2677" s="1"/>
      <c r="I2677" s="3"/>
      <c r="J2677" s="3"/>
      <c r="K2677" s="3"/>
      <c r="L2677" s="3"/>
    </row>
    <row r="2678" spans="2:12" x14ac:dyDescent="0.3">
      <c r="B2678" s="1"/>
      <c r="C2678" s="1"/>
      <c r="I2678" s="3"/>
      <c r="J2678" s="3"/>
      <c r="K2678" s="3"/>
      <c r="L2678" s="3"/>
    </row>
    <row r="2679" spans="2:12" x14ac:dyDescent="0.3">
      <c r="B2679" s="1"/>
      <c r="C2679" s="1"/>
      <c r="I2679" s="3"/>
      <c r="J2679" s="3"/>
      <c r="K2679" s="3"/>
      <c r="L2679" s="3"/>
    </row>
    <row r="2680" spans="2:12" x14ac:dyDescent="0.3">
      <c r="B2680" s="1"/>
      <c r="C2680" s="1"/>
      <c r="I2680" s="3"/>
      <c r="J2680" s="3"/>
      <c r="K2680" s="3"/>
      <c r="L2680" s="3"/>
    </row>
    <row r="2681" spans="2:12" x14ac:dyDescent="0.3">
      <c r="B2681" s="1"/>
      <c r="C2681" s="1"/>
      <c r="I2681" s="3"/>
      <c r="J2681" s="3"/>
      <c r="K2681" s="3"/>
      <c r="L2681" s="3"/>
    </row>
    <row r="2682" spans="2:12" x14ac:dyDescent="0.3">
      <c r="B2682" s="1"/>
      <c r="C2682" s="1"/>
      <c r="I2682" s="3"/>
      <c r="J2682" s="3"/>
      <c r="K2682" s="3"/>
      <c r="L2682" s="3"/>
    </row>
    <row r="2683" spans="2:12" x14ac:dyDescent="0.3">
      <c r="B2683" s="1"/>
      <c r="C2683" s="1"/>
      <c r="I2683" s="3"/>
      <c r="J2683" s="3"/>
      <c r="K2683" s="3"/>
      <c r="L2683" s="3"/>
    </row>
    <row r="2684" spans="2:12" x14ac:dyDescent="0.3">
      <c r="B2684" s="1"/>
      <c r="C2684" s="1"/>
      <c r="I2684" s="3"/>
      <c r="J2684" s="3"/>
      <c r="K2684" s="3"/>
      <c r="L2684" s="3"/>
    </row>
    <row r="2685" spans="2:12" x14ac:dyDescent="0.3">
      <c r="B2685" s="1"/>
      <c r="C2685" s="1"/>
      <c r="I2685" s="3"/>
      <c r="J2685" s="3"/>
      <c r="K2685" s="3"/>
      <c r="L2685" s="3"/>
    </row>
    <row r="2686" spans="2:12" x14ac:dyDescent="0.3">
      <c r="B2686" s="1"/>
      <c r="C2686" s="1"/>
      <c r="I2686" s="3"/>
      <c r="J2686" s="3"/>
      <c r="K2686" s="3"/>
      <c r="L2686" s="3"/>
    </row>
    <row r="2687" spans="2:12" x14ac:dyDescent="0.3">
      <c r="B2687" s="1"/>
      <c r="C2687" s="1"/>
      <c r="I2687" s="3"/>
      <c r="J2687" s="3"/>
      <c r="K2687" s="3"/>
      <c r="L2687" s="3"/>
    </row>
    <row r="2688" spans="2:12" x14ac:dyDescent="0.3">
      <c r="B2688" s="1"/>
      <c r="C2688" s="1"/>
      <c r="I2688" s="3"/>
      <c r="J2688" s="3"/>
      <c r="K2688" s="3"/>
      <c r="L2688" s="3"/>
    </row>
    <row r="2689" spans="2:12" x14ac:dyDescent="0.3">
      <c r="B2689" s="1"/>
      <c r="C2689" s="1"/>
      <c r="I2689" s="3"/>
      <c r="J2689" s="3"/>
      <c r="K2689" s="3"/>
      <c r="L2689" s="3"/>
    </row>
    <row r="2690" spans="2:12" x14ac:dyDescent="0.3">
      <c r="B2690" s="1"/>
      <c r="C2690" s="1"/>
      <c r="I2690" s="3"/>
      <c r="J2690" s="3"/>
      <c r="K2690" s="3"/>
      <c r="L2690" s="3"/>
    </row>
    <row r="2691" spans="2:12" x14ac:dyDescent="0.3">
      <c r="B2691" s="1"/>
      <c r="C2691" s="1"/>
      <c r="I2691" s="3"/>
      <c r="J2691" s="3"/>
      <c r="K2691" s="3"/>
      <c r="L2691" s="3"/>
    </row>
    <row r="2692" spans="2:12" x14ac:dyDescent="0.3">
      <c r="B2692" s="1"/>
      <c r="C2692" s="1"/>
      <c r="I2692" s="3"/>
      <c r="J2692" s="3"/>
      <c r="K2692" s="3"/>
      <c r="L2692" s="3"/>
    </row>
    <row r="2693" spans="2:12" x14ac:dyDescent="0.3">
      <c r="B2693" s="1"/>
      <c r="C2693" s="1"/>
      <c r="I2693" s="3"/>
      <c r="J2693" s="3"/>
      <c r="K2693" s="3"/>
      <c r="L2693" s="3"/>
    </row>
    <row r="2694" spans="2:12" x14ac:dyDescent="0.3">
      <c r="B2694" s="1"/>
      <c r="C2694" s="1"/>
      <c r="I2694" s="3"/>
      <c r="J2694" s="3"/>
      <c r="K2694" s="3"/>
      <c r="L2694" s="3"/>
    </row>
    <row r="2695" spans="2:12" x14ac:dyDescent="0.3">
      <c r="B2695" s="1"/>
      <c r="C2695" s="1"/>
      <c r="I2695" s="3"/>
      <c r="J2695" s="3"/>
      <c r="K2695" s="3"/>
      <c r="L2695" s="3"/>
    </row>
    <row r="2696" spans="2:12" x14ac:dyDescent="0.3">
      <c r="B2696" s="1"/>
      <c r="C2696" s="1"/>
      <c r="I2696" s="3"/>
      <c r="J2696" s="3"/>
      <c r="K2696" s="3"/>
      <c r="L2696" s="3"/>
    </row>
    <row r="2697" spans="2:12" x14ac:dyDescent="0.3">
      <c r="B2697" s="1"/>
      <c r="C2697" s="1"/>
      <c r="I2697" s="3"/>
      <c r="J2697" s="3"/>
      <c r="K2697" s="3"/>
      <c r="L2697" s="3"/>
    </row>
    <row r="2698" spans="2:12" x14ac:dyDescent="0.3">
      <c r="B2698" s="1"/>
      <c r="C2698" s="1"/>
      <c r="I2698" s="3"/>
      <c r="J2698" s="3"/>
      <c r="K2698" s="3"/>
      <c r="L2698" s="3"/>
    </row>
    <row r="2699" spans="2:12" x14ac:dyDescent="0.3">
      <c r="B2699" s="1"/>
      <c r="C2699" s="1"/>
      <c r="I2699" s="3"/>
      <c r="J2699" s="3"/>
      <c r="K2699" s="3"/>
      <c r="L2699" s="3"/>
    </row>
    <row r="2700" spans="2:12" x14ac:dyDescent="0.3">
      <c r="B2700" s="1"/>
      <c r="C2700" s="1"/>
      <c r="I2700" s="3"/>
      <c r="J2700" s="3"/>
      <c r="K2700" s="3"/>
      <c r="L2700" s="3"/>
    </row>
    <row r="2701" spans="2:12" x14ac:dyDescent="0.3">
      <c r="B2701" s="1"/>
      <c r="C2701" s="1"/>
      <c r="I2701" s="3"/>
      <c r="J2701" s="3"/>
      <c r="K2701" s="3"/>
      <c r="L2701" s="3"/>
    </row>
    <row r="2702" spans="2:12" x14ac:dyDescent="0.3">
      <c r="B2702" s="1"/>
      <c r="C2702" s="1"/>
      <c r="I2702" s="3"/>
      <c r="J2702" s="3"/>
      <c r="K2702" s="3"/>
      <c r="L2702" s="3"/>
    </row>
    <row r="2703" spans="2:12" x14ac:dyDescent="0.3">
      <c r="B2703" s="1"/>
      <c r="C2703" s="1"/>
      <c r="I2703" s="3"/>
      <c r="J2703" s="3"/>
      <c r="K2703" s="3"/>
      <c r="L2703" s="3"/>
    </row>
    <row r="2704" spans="2:12" x14ac:dyDescent="0.3">
      <c r="B2704" s="1"/>
      <c r="C2704" s="1"/>
      <c r="I2704" s="3"/>
      <c r="J2704" s="3"/>
      <c r="K2704" s="3"/>
      <c r="L2704" s="3"/>
    </row>
    <row r="2705" spans="2:12" x14ac:dyDescent="0.3">
      <c r="B2705" s="1"/>
      <c r="C2705" s="1"/>
      <c r="I2705" s="3"/>
      <c r="J2705" s="3"/>
      <c r="K2705" s="3"/>
      <c r="L2705" s="3"/>
    </row>
    <row r="2706" spans="2:12" x14ac:dyDescent="0.3">
      <c r="B2706" s="1"/>
      <c r="C2706" s="1"/>
      <c r="I2706" s="3"/>
      <c r="J2706" s="3"/>
      <c r="K2706" s="3"/>
      <c r="L2706" s="3"/>
    </row>
    <row r="2707" spans="2:12" x14ac:dyDescent="0.3">
      <c r="B2707" s="1"/>
      <c r="C2707" s="1"/>
      <c r="I2707" s="3"/>
      <c r="J2707" s="3"/>
      <c r="K2707" s="3"/>
      <c r="L2707" s="3"/>
    </row>
    <row r="2708" spans="2:12" x14ac:dyDescent="0.3">
      <c r="B2708" s="1"/>
      <c r="C2708" s="1"/>
      <c r="I2708" s="3"/>
      <c r="J2708" s="3"/>
      <c r="K2708" s="3"/>
      <c r="L2708" s="3"/>
    </row>
    <row r="2709" spans="2:12" x14ac:dyDescent="0.3">
      <c r="B2709" s="1"/>
      <c r="C2709" s="1"/>
      <c r="I2709" s="3"/>
      <c r="J2709" s="3"/>
      <c r="K2709" s="3"/>
      <c r="L2709" s="3"/>
    </row>
    <row r="2710" spans="2:12" x14ac:dyDescent="0.3">
      <c r="B2710" s="1"/>
      <c r="C2710" s="1"/>
      <c r="I2710" s="3"/>
      <c r="J2710" s="3"/>
      <c r="K2710" s="3"/>
      <c r="L2710" s="3"/>
    </row>
    <row r="2711" spans="2:12" x14ac:dyDescent="0.3">
      <c r="B2711" s="1"/>
      <c r="C2711" s="1"/>
      <c r="I2711" s="3"/>
      <c r="J2711" s="3"/>
      <c r="K2711" s="3"/>
      <c r="L2711" s="3"/>
    </row>
    <row r="2712" spans="2:12" x14ac:dyDescent="0.3">
      <c r="B2712" s="1"/>
      <c r="C2712" s="1"/>
      <c r="I2712" s="3"/>
      <c r="J2712" s="3"/>
      <c r="K2712" s="3"/>
      <c r="L2712" s="3"/>
    </row>
    <row r="2713" spans="2:12" x14ac:dyDescent="0.3">
      <c r="B2713" s="1"/>
      <c r="C2713" s="1"/>
      <c r="I2713" s="3"/>
      <c r="J2713" s="3"/>
      <c r="K2713" s="3"/>
      <c r="L2713" s="3"/>
    </row>
    <row r="2714" spans="2:12" x14ac:dyDescent="0.3">
      <c r="B2714" s="1"/>
      <c r="C2714" s="1"/>
      <c r="I2714" s="3"/>
      <c r="J2714" s="3"/>
      <c r="K2714" s="3"/>
      <c r="L2714" s="3"/>
    </row>
    <row r="2715" spans="2:12" x14ac:dyDescent="0.3">
      <c r="B2715" s="1"/>
      <c r="C2715" s="1"/>
      <c r="I2715" s="3"/>
      <c r="J2715" s="3"/>
      <c r="K2715" s="3"/>
      <c r="L2715" s="3"/>
    </row>
    <row r="2716" spans="2:12" x14ac:dyDescent="0.3">
      <c r="B2716" s="1"/>
      <c r="C2716" s="1"/>
      <c r="I2716" s="3"/>
      <c r="J2716" s="3"/>
      <c r="K2716" s="3"/>
      <c r="L2716" s="3"/>
    </row>
    <row r="2717" spans="2:12" x14ac:dyDescent="0.3">
      <c r="B2717" s="1"/>
      <c r="C2717" s="1"/>
      <c r="I2717" s="3"/>
      <c r="J2717" s="3"/>
      <c r="K2717" s="3"/>
      <c r="L2717" s="3"/>
    </row>
    <row r="2718" spans="2:12" x14ac:dyDescent="0.3">
      <c r="B2718" s="1"/>
      <c r="C2718" s="1"/>
      <c r="I2718" s="3"/>
      <c r="J2718" s="3"/>
      <c r="K2718" s="3"/>
      <c r="L2718" s="3"/>
    </row>
    <row r="2719" spans="2:12" x14ac:dyDescent="0.3">
      <c r="B2719" s="1"/>
      <c r="C2719" s="1"/>
      <c r="I2719" s="3"/>
      <c r="J2719" s="3"/>
      <c r="K2719" s="3"/>
      <c r="L2719" s="3"/>
    </row>
    <row r="2720" spans="2:12" x14ac:dyDescent="0.3">
      <c r="B2720" s="1"/>
      <c r="C2720" s="1"/>
      <c r="I2720" s="3"/>
      <c r="J2720" s="3"/>
      <c r="K2720" s="3"/>
      <c r="L2720" s="3"/>
    </row>
    <row r="2721" spans="2:12" x14ac:dyDescent="0.3">
      <c r="B2721" s="1"/>
      <c r="C2721" s="1"/>
      <c r="I2721" s="3"/>
      <c r="J2721" s="3"/>
      <c r="K2721" s="3"/>
      <c r="L2721" s="3"/>
    </row>
    <row r="2722" spans="2:12" x14ac:dyDescent="0.3">
      <c r="B2722" s="1"/>
      <c r="C2722" s="1"/>
      <c r="I2722" s="3"/>
      <c r="J2722" s="3"/>
      <c r="K2722" s="3"/>
      <c r="L2722" s="3"/>
    </row>
    <row r="2723" spans="2:12" x14ac:dyDescent="0.3">
      <c r="B2723" s="1"/>
      <c r="C2723" s="1"/>
      <c r="I2723" s="3"/>
      <c r="J2723" s="3"/>
      <c r="K2723" s="3"/>
      <c r="L2723" s="3"/>
    </row>
    <row r="2724" spans="2:12" x14ac:dyDescent="0.3">
      <c r="B2724" s="1"/>
      <c r="C2724" s="1"/>
      <c r="I2724" s="3"/>
      <c r="J2724" s="3"/>
      <c r="K2724" s="3"/>
      <c r="L2724" s="3"/>
    </row>
    <row r="2725" spans="2:12" x14ac:dyDescent="0.3">
      <c r="B2725" s="1"/>
      <c r="C2725" s="1"/>
      <c r="I2725" s="3"/>
      <c r="J2725" s="3"/>
      <c r="K2725" s="3"/>
      <c r="L2725" s="3"/>
    </row>
    <row r="2726" spans="2:12" x14ac:dyDescent="0.3">
      <c r="B2726" s="1"/>
      <c r="C2726" s="1"/>
      <c r="I2726" s="3"/>
      <c r="J2726" s="3"/>
      <c r="K2726" s="3"/>
      <c r="L2726" s="3"/>
    </row>
    <row r="2727" spans="2:12" x14ac:dyDescent="0.3">
      <c r="B2727" s="1"/>
      <c r="C2727" s="1"/>
      <c r="I2727" s="3"/>
      <c r="J2727" s="3"/>
      <c r="K2727" s="3"/>
      <c r="L2727" s="3"/>
    </row>
    <row r="2728" spans="2:12" x14ac:dyDescent="0.3">
      <c r="B2728" s="1"/>
      <c r="C2728" s="1"/>
      <c r="I2728" s="3"/>
      <c r="J2728" s="3"/>
      <c r="K2728" s="3"/>
      <c r="L2728" s="3"/>
    </row>
    <row r="2729" spans="2:12" x14ac:dyDescent="0.3">
      <c r="B2729" s="1"/>
      <c r="C2729" s="1"/>
      <c r="I2729" s="3"/>
      <c r="J2729" s="3"/>
      <c r="K2729" s="3"/>
      <c r="L2729" s="3"/>
    </row>
    <row r="2730" spans="2:12" x14ac:dyDescent="0.3">
      <c r="B2730" s="1"/>
      <c r="C2730" s="1"/>
      <c r="I2730" s="3"/>
      <c r="J2730" s="3"/>
      <c r="K2730" s="3"/>
      <c r="L2730" s="3"/>
    </row>
    <row r="2731" spans="2:12" x14ac:dyDescent="0.3">
      <c r="B2731" s="1"/>
      <c r="C2731" s="1"/>
      <c r="I2731" s="3"/>
      <c r="J2731" s="3"/>
      <c r="K2731" s="3"/>
      <c r="L2731" s="3"/>
    </row>
    <row r="2732" spans="2:12" x14ac:dyDescent="0.3">
      <c r="B2732" s="1"/>
      <c r="C2732" s="1"/>
      <c r="I2732" s="3"/>
      <c r="J2732" s="3"/>
      <c r="K2732" s="3"/>
      <c r="L2732" s="3"/>
    </row>
    <row r="2733" spans="2:12" x14ac:dyDescent="0.3">
      <c r="B2733" s="1"/>
      <c r="C2733" s="1"/>
      <c r="I2733" s="3"/>
      <c r="J2733" s="3"/>
      <c r="K2733" s="3"/>
      <c r="L2733" s="3"/>
    </row>
    <row r="2734" spans="2:12" x14ac:dyDescent="0.3">
      <c r="B2734" s="1"/>
      <c r="C2734" s="1"/>
      <c r="I2734" s="3"/>
      <c r="J2734" s="3"/>
      <c r="K2734" s="3"/>
      <c r="L2734" s="3"/>
    </row>
    <row r="2735" spans="2:12" x14ac:dyDescent="0.3">
      <c r="B2735" s="1"/>
      <c r="C2735" s="1"/>
      <c r="I2735" s="3"/>
      <c r="J2735" s="3"/>
      <c r="K2735" s="3"/>
      <c r="L2735" s="3"/>
    </row>
    <row r="2736" spans="2:12" x14ac:dyDescent="0.3">
      <c r="B2736" s="1"/>
      <c r="C2736" s="1"/>
      <c r="I2736" s="3"/>
      <c r="J2736" s="3"/>
      <c r="K2736" s="3"/>
      <c r="L2736" s="3"/>
    </row>
    <row r="2737" spans="2:12" x14ac:dyDescent="0.3">
      <c r="B2737" s="1"/>
      <c r="C2737" s="1"/>
      <c r="I2737" s="3"/>
      <c r="J2737" s="3"/>
      <c r="K2737" s="3"/>
      <c r="L2737" s="3"/>
    </row>
    <row r="2738" spans="2:12" x14ac:dyDescent="0.3">
      <c r="B2738" s="1"/>
      <c r="C2738" s="1"/>
      <c r="I2738" s="3"/>
      <c r="J2738" s="3"/>
      <c r="K2738" s="3"/>
      <c r="L2738" s="3"/>
    </row>
    <row r="2739" spans="2:12" x14ac:dyDescent="0.3">
      <c r="B2739" s="1"/>
      <c r="C2739" s="1"/>
      <c r="I2739" s="3"/>
      <c r="J2739" s="3"/>
      <c r="K2739" s="3"/>
      <c r="L2739" s="3"/>
    </row>
    <row r="2740" spans="2:12" x14ac:dyDescent="0.3">
      <c r="B2740" s="1"/>
      <c r="C2740" s="1"/>
      <c r="I2740" s="3"/>
      <c r="J2740" s="3"/>
      <c r="K2740" s="3"/>
      <c r="L2740" s="3"/>
    </row>
    <row r="2741" spans="2:12" x14ac:dyDescent="0.3">
      <c r="B2741" s="1"/>
      <c r="C2741" s="1"/>
      <c r="I2741" s="3"/>
      <c r="J2741" s="3"/>
      <c r="K2741" s="3"/>
      <c r="L2741" s="3"/>
    </row>
    <row r="2742" spans="2:12" x14ac:dyDescent="0.3">
      <c r="B2742" s="1"/>
      <c r="C2742" s="1"/>
      <c r="I2742" s="3"/>
      <c r="J2742" s="3"/>
      <c r="K2742" s="3"/>
      <c r="L2742" s="3"/>
    </row>
    <row r="2743" spans="2:12" x14ac:dyDescent="0.3">
      <c r="B2743" s="1"/>
      <c r="C2743" s="1"/>
      <c r="I2743" s="3"/>
      <c r="J2743" s="3"/>
      <c r="K2743" s="3"/>
      <c r="L2743" s="3"/>
    </row>
    <row r="2744" spans="2:12" x14ac:dyDescent="0.3">
      <c r="B2744" s="1"/>
      <c r="C2744" s="1"/>
      <c r="I2744" s="3"/>
      <c r="J2744" s="3"/>
      <c r="K2744" s="3"/>
      <c r="L2744" s="3"/>
    </row>
    <row r="2745" spans="2:12" x14ac:dyDescent="0.3">
      <c r="B2745" s="1"/>
      <c r="C2745" s="1"/>
      <c r="I2745" s="3"/>
      <c r="J2745" s="3"/>
      <c r="K2745" s="3"/>
      <c r="L2745" s="3"/>
    </row>
    <row r="2746" spans="2:12" x14ac:dyDescent="0.3">
      <c r="B2746" s="1"/>
      <c r="C2746" s="1"/>
      <c r="I2746" s="3"/>
      <c r="J2746" s="3"/>
      <c r="K2746" s="3"/>
      <c r="L2746" s="3"/>
    </row>
    <row r="2747" spans="2:12" x14ac:dyDescent="0.3">
      <c r="B2747" s="1"/>
      <c r="C2747" s="1"/>
      <c r="I2747" s="3"/>
      <c r="J2747" s="3"/>
      <c r="K2747" s="3"/>
      <c r="L2747" s="3"/>
    </row>
    <row r="2748" spans="2:12" x14ac:dyDescent="0.3">
      <c r="B2748" s="1"/>
      <c r="C2748" s="1"/>
      <c r="I2748" s="3"/>
      <c r="J2748" s="3"/>
      <c r="K2748" s="3"/>
      <c r="L2748" s="3"/>
    </row>
    <row r="2749" spans="2:12" x14ac:dyDescent="0.3">
      <c r="B2749" s="1"/>
      <c r="C2749" s="1"/>
      <c r="I2749" s="3"/>
      <c r="J2749" s="3"/>
      <c r="K2749" s="3"/>
      <c r="L2749" s="3"/>
    </row>
    <row r="2750" spans="2:12" x14ac:dyDescent="0.3">
      <c r="B2750" s="1"/>
      <c r="C2750" s="1"/>
      <c r="I2750" s="3"/>
      <c r="J2750" s="3"/>
      <c r="K2750" s="3"/>
      <c r="L2750" s="3"/>
    </row>
    <row r="2751" spans="2:12" x14ac:dyDescent="0.3">
      <c r="B2751" s="1"/>
      <c r="C2751" s="1"/>
      <c r="I2751" s="3"/>
      <c r="J2751" s="3"/>
      <c r="K2751" s="3"/>
      <c r="L2751" s="3"/>
    </row>
    <row r="2752" spans="2:12" x14ac:dyDescent="0.3">
      <c r="B2752" s="1"/>
      <c r="C2752" s="1"/>
      <c r="I2752" s="3"/>
      <c r="J2752" s="3"/>
      <c r="K2752" s="3"/>
      <c r="L2752" s="3"/>
    </row>
    <row r="2753" spans="2:12" x14ac:dyDescent="0.3">
      <c r="B2753" s="1"/>
      <c r="C2753" s="1"/>
      <c r="I2753" s="3"/>
      <c r="J2753" s="3"/>
      <c r="K2753" s="3"/>
      <c r="L2753" s="3"/>
    </row>
    <row r="2754" spans="2:12" x14ac:dyDescent="0.3">
      <c r="B2754" s="1"/>
      <c r="C2754" s="1"/>
      <c r="I2754" s="3"/>
      <c r="J2754" s="3"/>
      <c r="K2754" s="3"/>
      <c r="L2754" s="3"/>
    </row>
    <row r="2755" spans="2:12" x14ac:dyDescent="0.3">
      <c r="B2755" s="1"/>
      <c r="C2755" s="1"/>
      <c r="I2755" s="3"/>
      <c r="J2755" s="3"/>
      <c r="K2755" s="3"/>
      <c r="L2755" s="3"/>
    </row>
    <row r="2756" spans="2:12" x14ac:dyDescent="0.3">
      <c r="B2756" s="1"/>
      <c r="C2756" s="1"/>
      <c r="I2756" s="3"/>
      <c r="J2756" s="3"/>
      <c r="K2756" s="3"/>
      <c r="L2756" s="3"/>
    </row>
    <row r="2757" spans="2:12" x14ac:dyDescent="0.3">
      <c r="B2757" s="1"/>
      <c r="C2757" s="1"/>
      <c r="I2757" s="3"/>
      <c r="J2757" s="3"/>
      <c r="K2757" s="3"/>
      <c r="L2757" s="3"/>
    </row>
    <row r="2758" spans="2:12" x14ac:dyDescent="0.3">
      <c r="B2758" s="1"/>
      <c r="C2758" s="1"/>
      <c r="I2758" s="3"/>
      <c r="J2758" s="3"/>
      <c r="K2758" s="3"/>
      <c r="L2758" s="3"/>
    </row>
    <row r="2759" spans="2:12" x14ac:dyDescent="0.3">
      <c r="B2759" s="1"/>
      <c r="C2759" s="1"/>
      <c r="I2759" s="3"/>
      <c r="J2759" s="3"/>
      <c r="K2759" s="3"/>
      <c r="L2759" s="3"/>
    </row>
    <row r="2760" spans="2:12" x14ac:dyDescent="0.3">
      <c r="B2760" s="1"/>
      <c r="C2760" s="1"/>
      <c r="I2760" s="3"/>
      <c r="J2760" s="3"/>
      <c r="K2760" s="3"/>
      <c r="L2760" s="3"/>
    </row>
    <row r="2761" spans="2:12" x14ac:dyDescent="0.3">
      <c r="B2761" s="1"/>
      <c r="C2761" s="1"/>
      <c r="I2761" s="3"/>
      <c r="J2761" s="3"/>
      <c r="K2761" s="3"/>
      <c r="L2761" s="3"/>
    </row>
    <row r="2762" spans="2:12" x14ac:dyDescent="0.3">
      <c r="B2762" s="1"/>
      <c r="C2762" s="1"/>
      <c r="I2762" s="3"/>
      <c r="J2762" s="3"/>
      <c r="K2762" s="3"/>
      <c r="L2762" s="3"/>
    </row>
    <row r="2763" spans="2:12" x14ac:dyDescent="0.3">
      <c r="B2763" s="1"/>
      <c r="C2763" s="1"/>
      <c r="I2763" s="3"/>
      <c r="J2763" s="3"/>
      <c r="K2763" s="3"/>
      <c r="L2763" s="3"/>
    </row>
    <row r="2764" spans="2:12" x14ac:dyDescent="0.3">
      <c r="B2764" s="1"/>
      <c r="C2764" s="1"/>
      <c r="I2764" s="3"/>
      <c r="J2764" s="3"/>
      <c r="K2764" s="3"/>
      <c r="L2764" s="3"/>
    </row>
    <row r="2765" spans="2:12" x14ac:dyDescent="0.3">
      <c r="B2765" s="1"/>
      <c r="C2765" s="1"/>
      <c r="I2765" s="3"/>
      <c r="J2765" s="3"/>
      <c r="K2765" s="3"/>
      <c r="L2765" s="3"/>
    </row>
    <row r="2766" spans="2:12" x14ac:dyDescent="0.3">
      <c r="B2766" s="1"/>
      <c r="C2766" s="1"/>
      <c r="I2766" s="3"/>
      <c r="J2766" s="3"/>
      <c r="K2766" s="3"/>
      <c r="L2766" s="3"/>
    </row>
    <row r="2767" spans="2:12" x14ac:dyDescent="0.3">
      <c r="B2767" s="1"/>
      <c r="C2767" s="1"/>
      <c r="I2767" s="3"/>
      <c r="J2767" s="3"/>
      <c r="K2767" s="3"/>
      <c r="L2767" s="3"/>
    </row>
    <row r="2768" spans="2:12" x14ac:dyDescent="0.3">
      <c r="B2768" s="1"/>
      <c r="C2768" s="1"/>
      <c r="I2768" s="3"/>
      <c r="J2768" s="3"/>
      <c r="K2768" s="3"/>
      <c r="L2768" s="3"/>
    </row>
    <row r="2769" spans="2:12" x14ac:dyDescent="0.3">
      <c r="B2769" s="1"/>
      <c r="C2769" s="1"/>
      <c r="I2769" s="3"/>
      <c r="J2769" s="3"/>
      <c r="K2769" s="3"/>
      <c r="L2769" s="3"/>
    </row>
    <row r="2770" spans="2:12" x14ac:dyDescent="0.3">
      <c r="B2770" s="1"/>
      <c r="C2770" s="1"/>
      <c r="I2770" s="3"/>
      <c r="J2770" s="3"/>
      <c r="K2770" s="3"/>
      <c r="L2770" s="3"/>
    </row>
    <row r="2771" spans="2:12" x14ac:dyDescent="0.3">
      <c r="B2771" s="1"/>
      <c r="C2771" s="1"/>
      <c r="I2771" s="3"/>
      <c r="J2771" s="3"/>
      <c r="K2771" s="3"/>
      <c r="L2771" s="3"/>
    </row>
    <row r="2772" spans="2:12" x14ac:dyDescent="0.3">
      <c r="B2772" s="1"/>
      <c r="C2772" s="1"/>
      <c r="I2772" s="3"/>
      <c r="J2772" s="3"/>
      <c r="K2772" s="3"/>
      <c r="L2772" s="3"/>
    </row>
    <row r="2773" spans="2:12" x14ac:dyDescent="0.3">
      <c r="B2773" s="1"/>
      <c r="C2773" s="1"/>
      <c r="I2773" s="3"/>
      <c r="J2773" s="3"/>
      <c r="K2773" s="3"/>
      <c r="L2773" s="3"/>
    </row>
    <row r="2774" spans="2:12" x14ac:dyDescent="0.3">
      <c r="B2774" s="1"/>
      <c r="C2774" s="1"/>
      <c r="I2774" s="3"/>
      <c r="J2774" s="3"/>
      <c r="K2774" s="3"/>
      <c r="L2774" s="3"/>
    </row>
    <row r="2775" spans="2:12" x14ac:dyDescent="0.3">
      <c r="B2775" s="1"/>
      <c r="C2775" s="1"/>
      <c r="I2775" s="3"/>
      <c r="J2775" s="3"/>
      <c r="K2775" s="3"/>
      <c r="L2775" s="3"/>
    </row>
    <row r="2776" spans="2:12" x14ac:dyDescent="0.3">
      <c r="B2776" s="1"/>
      <c r="C2776" s="1"/>
      <c r="I2776" s="3"/>
      <c r="J2776" s="3"/>
      <c r="K2776" s="3"/>
      <c r="L2776" s="3"/>
    </row>
    <row r="2777" spans="2:12" x14ac:dyDescent="0.3">
      <c r="B2777" s="1"/>
      <c r="C2777" s="1"/>
      <c r="I2777" s="3"/>
      <c r="J2777" s="3"/>
      <c r="K2777" s="3"/>
      <c r="L2777" s="3"/>
    </row>
    <row r="2778" spans="2:12" x14ac:dyDescent="0.3">
      <c r="B2778" s="1"/>
      <c r="C2778" s="1"/>
      <c r="I2778" s="3"/>
      <c r="J2778" s="3"/>
      <c r="K2778" s="3"/>
      <c r="L2778" s="3"/>
    </row>
    <row r="2779" spans="2:12" x14ac:dyDescent="0.3">
      <c r="B2779" s="1"/>
      <c r="C2779" s="1"/>
      <c r="I2779" s="3"/>
      <c r="J2779" s="3"/>
      <c r="K2779" s="3"/>
      <c r="L2779" s="3"/>
    </row>
    <row r="2780" spans="2:12" x14ac:dyDescent="0.3">
      <c r="B2780" s="1"/>
      <c r="C2780" s="1"/>
      <c r="I2780" s="3"/>
      <c r="J2780" s="3"/>
      <c r="K2780" s="3"/>
      <c r="L2780" s="3"/>
    </row>
    <row r="2781" spans="2:12" x14ac:dyDescent="0.3">
      <c r="B2781" s="1"/>
      <c r="C2781" s="1"/>
      <c r="I2781" s="3"/>
      <c r="J2781" s="3"/>
      <c r="K2781" s="3"/>
      <c r="L2781" s="3"/>
    </row>
    <row r="2782" spans="2:12" x14ac:dyDescent="0.3">
      <c r="B2782" s="1"/>
      <c r="C2782" s="1"/>
      <c r="I2782" s="3"/>
      <c r="J2782" s="3"/>
      <c r="K2782" s="3"/>
      <c r="L2782" s="3"/>
    </row>
    <row r="2783" spans="2:12" x14ac:dyDescent="0.3">
      <c r="B2783" s="1"/>
      <c r="C2783" s="1"/>
      <c r="I2783" s="3"/>
      <c r="J2783" s="3"/>
      <c r="K2783" s="3"/>
      <c r="L2783" s="3"/>
    </row>
    <row r="2784" spans="2:12" x14ac:dyDescent="0.3">
      <c r="B2784" s="1"/>
      <c r="C2784" s="1"/>
      <c r="I2784" s="3"/>
      <c r="J2784" s="3"/>
      <c r="K2784" s="3"/>
      <c r="L2784" s="3"/>
    </row>
    <row r="2785" spans="2:12" x14ac:dyDescent="0.3">
      <c r="B2785" s="1"/>
      <c r="C2785" s="1"/>
      <c r="I2785" s="3"/>
      <c r="J2785" s="3"/>
      <c r="K2785" s="3"/>
      <c r="L2785" s="3"/>
    </row>
    <row r="2786" spans="2:12" x14ac:dyDescent="0.3">
      <c r="B2786" s="1"/>
      <c r="C2786" s="1"/>
      <c r="I2786" s="3"/>
      <c r="J2786" s="3"/>
      <c r="K2786" s="3"/>
      <c r="L2786" s="3"/>
    </row>
    <row r="2787" spans="2:12" x14ac:dyDescent="0.3">
      <c r="B2787" s="1"/>
      <c r="C2787" s="1"/>
      <c r="I2787" s="3"/>
      <c r="J2787" s="3"/>
      <c r="K2787" s="3"/>
      <c r="L2787" s="3"/>
    </row>
    <row r="2788" spans="2:12" x14ac:dyDescent="0.3">
      <c r="B2788" s="1"/>
      <c r="C2788" s="1"/>
      <c r="I2788" s="3"/>
      <c r="J2788" s="3"/>
      <c r="K2788" s="3"/>
      <c r="L2788" s="3"/>
    </row>
    <row r="2789" spans="2:12" x14ac:dyDescent="0.3">
      <c r="B2789" s="1"/>
      <c r="C2789" s="1"/>
      <c r="I2789" s="3"/>
      <c r="J2789" s="3"/>
      <c r="K2789" s="3"/>
      <c r="L2789" s="3"/>
    </row>
    <row r="2790" spans="2:12" x14ac:dyDescent="0.3">
      <c r="B2790" s="1"/>
      <c r="C2790" s="1"/>
      <c r="I2790" s="3"/>
      <c r="J2790" s="3"/>
      <c r="K2790" s="3"/>
      <c r="L2790" s="3"/>
    </row>
    <row r="2791" spans="2:12" x14ac:dyDescent="0.3">
      <c r="B2791" s="1"/>
      <c r="C2791" s="1"/>
      <c r="I2791" s="3"/>
      <c r="J2791" s="3"/>
      <c r="K2791" s="3"/>
      <c r="L2791" s="3"/>
    </row>
    <row r="2792" spans="2:12" x14ac:dyDescent="0.3">
      <c r="B2792" s="1"/>
      <c r="C2792" s="1"/>
      <c r="I2792" s="3"/>
      <c r="J2792" s="3"/>
      <c r="K2792" s="3"/>
      <c r="L2792" s="3"/>
    </row>
    <row r="2793" spans="2:12" x14ac:dyDescent="0.3">
      <c r="B2793" s="1"/>
      <c r="C2793" s="1"/>
      <c r="I2793" s="3"/>
      <c r="J2793" s="3"/>
      <c r="K2793" s="3"/>
      <c r="L2793" s="3"/>
    </row>
    <row r="2794" spans="2:12" x14ac:dyDescent="0.3">
      <c r="B2794" s="1"/>
      <c r="C2794" s="1"/>
      <c r="I2794" s="3"/>
      <c r="J2794" s="3"/>
      <c r="K2794" s="3"/>
      <c r="L2794" s="3"/>
    </row>
    <row r="2795" spans="2:12" x14ac:dyDescent="0.3">
      <c r="B2795" s="1"/>
      <c r="C2795" s="1"/>
      <c r="I2795" s="3"/>
      <c r="J2795" s="3"/>
      <c r="K2795" s="3"/>
      <c r="L2795" s="3"/>
    </row>
    <row r="2796" spans="2:12" x14ac:dyDescent="0.3">
      <c r="B2796" s="1"/>
      <c r="C2796" s="1"/>
      <c r="I2796" s="3"/>
      <c r="J2796" s="3"/>
      <c r="K2796" s="3"/>
      <c r="L2796" s="3"/>
    </row>
    <row r="2797" spans="2:12" x14ac:dyDescent="0.3">
      <c r="B2797" s="1"/>
      <c r="C2797" s="1"/>
      <c r="I2797" s="3"/>
      <c r="J2797" s="3"/>
      <c r="K2797" s="3"/>
      <c r="L2797" s="3"/>
    </row>
    <row r="2798" spans="2:12" x14ac:dyDescent="0.3">
      <c r="B2798" s="1"/>
      <c r="C2798" s="1"/>
      <c r="I2798" s="3"/>
      <c r="J2798" s="3"/>
      <c r="K2798" s="3"/>
      <c r="L2798" s="3"/>
    </row>
    <row r="2799" spans="2:12" x14ac:dyDescent="0.3">
      <c r="B2799" s="1"/>
      <c r="C2799" s="1"/>
      <c r="I2799" s="3"/>
      <c r="J2799" s="3"/>
      <c r="K2799" s="3"/>
      <c r="L2799" s="3"/>
    </row>
    <row r="2800" spans="2:12" x14ac:dyDescent="0.3">
      <c r="B2800" s="1"/>
      <c r="C2800" s="1"/>
      <c r="I2800" s="3"/>
      <c r="J2800" s="3"/>
      <c r="K2800" s="3"/>
      <c r="L2800" s="3"/>
    </row>
    <row r="2801" spans="2:12" x14ac:dyDescent="0.3">
      <c r="B2801" s="1"/>
      <c r="C2801" s="1"/>
      <c r="I2801" s="3"/>
      <c r="J2801" s="3"/>
      <c r="K2801" s="3"/>
      <c r="L2801" s="3"/>
    </row>
    <row r="2802" spans="2:12" x14ac:dyDescent="0.3">
      <c r="B2802" s="1"/>
      <c r="C2802" s="1"/>
      <c r="I2802" s="3"/>
      <c r="J2802" s="3"/>
      <c r="K2802" s="3"/>
      <c r="L2802" s="3"/>
    </row>
    <row r="2803" spans="2:12" x14ac:dyDescent="0.3">
      <c r="B2803" s="1"/>
      <c r="C2803" s="1"/>
      <c r="I2803" s="3"/>
      <c r="J2803" s="3"/>
      <c r="K2803" s="3"/>
      <c r="L2803" s="3"/>
    </row>
    <row r="2804" spans="2:12" x14ac:dyDescent="0.3">
      <c r="B2804" s="1"/>
      <c r="C2804" s="1"/>
      <c r="I2804" s="3"/>
      <c r="J2804" s="3"/>
      <c r="K2804" s="3"/>
      <c r="L2804" s="3"/>
    </row>
    <row r="2805" spans="2:12" x14ac:dyDescent="0.3">
      <c r="B2805" s="1"/>
      <c r="C2805" s="1"/>
      <c r="I2805" s="3"/>
      <c r="J2805" s="3"/>
      <c r="K2805" s="3"/>
      <c r="L2805" s="3"/>
    </row>
    <row r="2806" spans="2:12" x14ac:dyDescent="0.3">
      <c r="B2806" s="1"/>
      <c r="C2806" s="1"/>
      <c r="I2806" s="3"/>
      <c r="J2806" s="3"/>
      <c r="K2806" s="3"/>
      <c r="L2806" s="3"/>
    </row>
    <row r="2807" spans="2:12" x14ac:dyDescent="0.3">
      <c r="B2807" s="1"/>
      <c r="C2807" s="1"/>
      <c r="I2807" s="3"/>
      <c r="J2807" s="3"/>
      <c r="K2807" s="3"/>
      <c r="L2807" s="3"/>
    </row>
    <row r="2808" spans="2:12" x14ac:dyDescent="0.3">
      <c r="B2808" s="1"/>
      <c r="C2808" s="1"/>
      <c r="I2808" s="3"/>
      <c r="J2808" s="3"/>
      <c r="K2808" s="3"/>
      <c r="L2808" s="3"/>
    </row>
    <row r="2809" spans="2:12" x14ac:dyDescent="0.3">
      <c r="B2809" s="1"/>
      <c r="C2809" s="1"/>
      <c r="I2809" s="3"/>
      <c r="J2809" s="3"/>
      <c r="K2809" s="3"/>
      <c r="L2809" s="3"/>
    </row>
    <row r="2810" spans="2:12" x14ac:dyDescent="0.3">
      <c r="B2810" s="1"/>
      <c r="C2810" s="1"/>
      <c r="I2810" s="3"/>
      <c r="J2810" s="3"/>
      <c r="K2810" s="3"/>
      <c r="L2810" s="3"/>
    </row>
    <row r="2811" spans="2:12" x14ac:dyDescent="0.3">
      <c r="B2811" s="1"/>
      <c r="C2811" s="1"/>
      <c r="I2811" s="3"/>
      <c r="J2811" s="3"/>
      <c r="K2811" s="3"/>
      <c r="L2811" s="3"/>
    </row>
    <row r="2812" spans="2:12" x14ac:dyDescent="0.3">
      <c r="B2812" s="1"/>
      <c r="C2812" s="1"/>
      <c r="I2812" s="3"/>
      <c r="J2812" s="3"/>
      <c r="K2812" s="3"/>
      <c r="L2812" s="3"/>
    </row>
    <row r="2813" spans="2:12" x14ac:dyDescent="0.3">
      <c r="B2813" s="1"/>
      <c r="C2813" s="1"/>
      <c r="I2813" s="3"/>
      <c r="J2813" s="3"/>
      <c r="K2813" s="3"/>
      <c r="L2813" s="3"/>
    </row>
    <row r="2814" spans="2:12" x14ac:dyDescent="0.3">
      <c r="B2814" s="1"/>
      <c r="C2814" s="1"/>
      <c r="I2814" s="3"/>
      <c r="J2814" s="3"/>
      <c r="K2814" s="3"/>
      <c r="L2814" s="3"/>
    </row>
    <row r="2815" spans="2:12" x14ac:dyDescent="0.3">
      <c r="B2815" s="1"/>
      <c r="C2815" s="1"/>
      <c r="I2815" s="3"/>
      <c r="J2815" s="3"/>
      <c r="K2815" s="3"/>
      <c r="L2815" s="3"/>
    </row>
    <row r="2816" spans="2:12" x14ac:dyDescent="0.3">
      <c r="B2816" s="1"/>
      <c r="C2816" s="1"/>
      <c r="I2816" s="3"/>
      <c r="J2816" s="3"/>
      <c r="K2816" s="3"/>
      <c r="L2816" s="3"/>
    </row>
    <row r="2817" spans="2:12" x14ac:dyDescent="0.3">
      <c r="B2817" s="1"/>
      <c r="C2817" s="1"/>
      <c r="I2817" s="3"/>
      <c r="J2817" s="3"/>
      <c r="K2817" s="3"/>
      <c r="L2817" s="3"/>
    </row>
    <row r="2818" spans="2:12" x14ac:dyDescent="0.3">
      <c r="B2818" s="1"/>
      <c r="C2818" s="1"/>
      <c r="I2818" s="3"/>
      <c r="J2818" s="3"/>
      <c r="K2818" s="3"/>
      <c r="L2818" s="3"/>
    </row>
    <row r="2819" spans="2:12" x14ac:dyDescent="0.3">
      <c r="B2819" s="1"/>
      <c r="C2819" s="1"/>
      <c r="I2819" s="3"/>
      <c r="J2819" s="3"/>
      <c r="K2819" s="3"/>
      <c r="L2819" s="3"/>
    </row>
    <row r="2820" spans="2:12" x14ac:dyDescent="0.3">
      <c r="B2820" s="1"/>
      <c r="C2820" s="1"/>
      <c r="I2820" s="3"/>
      <c r="J2820" s="3"/>
      <c r="K2820" s="3"/>
      <c r="L2820" s="3"/>
    </row>
    <row r="2821" spans="2:12" x14ac:dyDescent="0.3">
      <c r="B2821" s="1"/>
      <c r="C2821" s="1"/>
      <c r="I2821" s="3"/>
      <c r="J2821" s="3"/>
      <c r="K2821" s="3"/>
      <c r="L2821" s="3"/>
    </row>
    <row r="2822" spans="2:12" x14ac:dyDescent="0.3">
      <c r="B2822" s="1"/>
      <c r="C2822" s="1"/>
      <c r="I2822" s="3"/>
      <c r="J2822" s="3"/>
      <c r="K2822" s="3"/>
      <c r="L2822" s="3"/>
    </row>
    <row r="2823" spans="2:12" x14ac:dyDescent="0.3">
      <c r="B2823" s="1"/>
      <c r="C2823" s="1"/>
      <c r="I2823" s="3"/>
      <c r="J2823" s="3"/>
      <c r="K2823" s="3"/>
      <c r="L2823" s="3"/>
    </row>
    <row r="2824" spans="2:12" x14ac:dyDescent="0.3">
      <c r="B2824" s="1"/>
      <c r="C2824" s="1"/>
      <c r="I2824" s="3"/>
      <c r="J2824" s="3"/>
      <c r="K2824" s="3"/>
      <c r="L2824" s="3"/>
    </row>
    <row r="2825" spans="2:12" x14ac:dyDescent="0.3">
      <c r="B2825" s="1"/>
      <c r="C2825" s="1"/>
      <c r="I2825" s="3"/>
      <c r="J2825" s="3"/>
      <c r="K2825" s="3"/>
      <c r="L2825" s="3"/>
    </row>
    <row r="2826" spans="2:12" x14ac:dyDescent="0.3">
      <c r="B2826" s="1"/>
      <c r="C2826" s="1"/>
      <c r="I2826" s="3"/>
      <c r="J2826" s="3"/>
      <c r="K2826" s="3"/>
      <c r="L2826" s="3"/>
    </row>
    <row r="2827" spans="2:12" x14ac:dyDescent="0.3">
      <c r="B2827" s="1"/>
      <c r="C2827" s="1"/>
      <c r="I2827" s="3"/>
      <c r="J2827" s="3"/>
      <c r="K2827" s="3"/>
      <c r="L2827" s="3"/>
    </row>
    <row r="2828" spans="2:12" x14ac:dyDescent="0.3">
      <c r="B2828" s="1"/>
      <c r="C2828" s="1"/>
      <c r="I2828" s="3"/>
      <c r="J2828" s="3"/>
      <c r="K2828" s="3"/>
      <c r="L2828" s="3"/>
    </row>
    <row r="2829" spans="2:12" x14ac:dyDescent="0.3">
      <c r="B2829" s="1"/>
      <c r="C2829" s="1"/>
      <c r="I2829" s="3"/>
      <c r="J2829" s="3"/>
      <c r="K2829" s="3"/>
      <c r="L2829" s="3"/>
    </row>
    <row r="2830" spans="2:12" x14ac:dyDescent="0.3">
      <c r="B2830" s="1"/>
      <c r="C2830" s="1"/>
      <c r="I2830" s="3"/>
      <c r="J2830" s="3"/>
      <c r="K2830" s="3"/>
      <c r="L2830" s="3"/>
    </row>
    <row r="2831" spans="2:12" x14ac:dyDescent="0.3">
      <c r="B2831" s="1"/>
      <c r="C2831" s="1"/>
      <c r="I2831" s="3"/>
      <c r="J2831" s="3"/>
      <c r="K2831" s="3"/>
      <c r="L2831" s="3"/>
    </row>
    <row r="2832" spans="2:12" x14ac:dyDescent="0.3">
      <c r="B2832" s="1"/>
      <c r="C2832" s="1"/>
      <c r="I2832" s="3"/>
      <c r="J2832" s="3"/>
      <c r="K2832" s="3"/>
      <c r="L2832" s="3"/>
    </row>
    <row r="2833" spans="2:12" x14ac:dyDescent="0.3">
      <c r="B2833" s="1"/>
      <c r="C2833" s="1"/>
      <c r="I2833" s="3"/>
      <c r="J2833" s="3"/>
      <c r="K2833" s="3"/>
      <c r="L2833" s="3"/>
    </row>
    <row r="2834" spans="2:12" x14ac:dyDescent="0.3">
      <c r="B2834" s="1"/>
      <c r="C2834" s="1"/>
      <c r="I2834" s="3"/>
      <c r="J2834" s="3"/>
      <c r="K2834" s="3"/>
      <c r="L2834" s="3"/>
    </row>
    <row r="2835" spans="2:12" x14ac:dyDescent="0.3">
      <c r="B2835" s="1"/>
      <c r="C2835" s="1"/>
      <c r="I2835" s="3"/>
      <c r="J2835" s="3"/>
      <c r="K2835" s="3"/>
      <c r="L2835" s="3"/>
    </row>
    <row r="2836" spans="2:12" x14ac:dyDescent="0.3">
      <c r="B2836" s="1"/>
      <c r="C2836" s="1"/>
      <c r="I2836" s="3"/>
      <c r="J2836" s="3"/>
      <c r="K2836" s="3"/>
      <c r="L2836" s="3"/>
    </row>
    <row r="2837" spans="2:12" x14ac:dyDescent="0.3">
      <c r="B2837" s="1"/>
      <c r="C2837" s="1"/>
      <c r="I2837" s="3"/>
      <c r="J2837" s="3"/>
      <c r="K2837" s="3"/>
      <c r="L2837" s="3"/>
    </row>
    <row r="2838" spans="2:12" x14ac:dyDescent="0.3">
      <c r="B2838" s="1"/>
      <c r="C2838" s="1"/>
      <c r="I2838" s="3"/>
      <c r="J2838" s="3"/>
      <c r="K2838" s="3"/>
      <c r="L2838" s="3"/>
    </row>
    <row r="2839" spans="2:12" x14ac:dyDescent="0.3">
      <c r="B2839" s="1"/>
      <c r="C2839" s="1"/>
      <c r="I2839" s="3"/>
      <c r="J2839" s="3"/>
      <c r="K2839" s="3"/>
      <c r="L2839" s="3"/>
    </row>
    <row r="2840" spans="2:12" x14ac:dyDescent="0.3">
      <c r="B2840" s="1"/>
      <c r="C2840" s="1"/>
      <c r="I2840" s="3"/>
      <c r="J2840" s="3"/>
      <c r="K2840" s="3"/>
      <c r="L2840" s="3"/>
    </row>
    <row r="2841" spans="2:12" x14ac:dyDescent="0.3">
      <c r="B2841" s="1"/>
      <c r="C2841" s="1"/>
      <c r="I2841" s="3"/>
      <c r="J2841" s="3"/>
      <c r="K2841" s="3"/>
      <c r="L2841" s="3"/>
    </row>
    <row r="2842" spans="2:12" x14ac:dyDescent="0.3">
      <c r="B2842" s="1"/>
      <c r="C2842" s="1"/>
      <c r="I2842" s="3"/>
      <c r="J2842" s="3"/>
      <c r="K2842" s="3"/>
      <c r="L2842" s="3"/>
    </row>
    <row r="2843" spans="2:12" x14ac:dyDescent="0.3">
      <c r="B2843" s="1"/>
      <c r="C2843" s="1"/>
      <c r="I2843" s="3"/>
      <c r="J2843" s="3"/>
      <c r="K2843" s="3"/>
      <c r="L2843" s="3"/>
    </row>
    <row r="2844" spans="2:12" x14ac:dyDescent="0.3">
      <c r="B2844" s="1"/>
      <c r="C2844" s="1"/>
      <c r="I2844" s="3"/>
      <c r="J2844" s="3"/>
      <c r="K2844" s="3"/>
      <c r="L2844" s="3"/>
    </row>
    <row r="2845" spans="2:12" x14ac:dyDescent="0.3">
      <c r="B2845" s="1"/>
      <c r="C2845" s="1"/>
      <c r="I2845" s="3"/>
      <c r="J2845" s="3"/>
      <c r="K2845" s="3"/>
      <c r="L2845" s="3"/>
    </row>
    <row r="2846" spans="2:12" x14ac:dyDescent="0.3">
      <c r="B2846" s="1"/>
      <c r="C2846" s="1"/>
      <c r="I2846" s="3"/>
      <c r="J2846" s="3"/>
      <c r="K2846" s="3"/>
      <c r="L2846" s="3"/>
    </row>
    <row r="2847" spans="2:12" x14ac:dyDescent="0.3">
      <c r="B2847" s="1"/>
      <c r="C2847" s="1"/>
      <c r="I2847" s="3"/>
      <c r="J2847" s="3"/>
      <c r="K2847" s="3"/>
      <c r="L2847" s="3"/>
    </row>
    <row r="2848" spans="2:12" x14ac:dyDescent="0.3">
      <c r="B2848" s="1"/>
      <c r="C2848" s="1"/>
      <c r="I2848" s="3"/>
      <c r="J2848" s="3"/>
      <c r="K2848" s="3"/>
      <c r="L2848" s="3"/>
    </row>
    <row r="2849" spans="2:12" x14ac:dyDescent="0.3">
      <c r="B2849" s="1"/>
      <c r="C2849" s="1"/>
      <c r="I2849" s="3"/>
      <c r="J2849" s="3"/>
      <c r="K2849" s="3"/>
      <c r="L2849" s="3"/>
    </row>
    <row r="2850" spans="2:12" x14ac:dyDescent="0.3">
      <c r="B2850" s="1"/>
      <c r="C2850" s="1"/>
      <c r="I2850" s="3"/>
      <c r="J2850" s="3"/>
      <c r="K2850" s="3"/>
      <c r="L2850" s="3"/>
    </row>
    <row r="2851" spans="2:12" x14ac:dyDescent="0.3">
      <c r="B2851" s="1"/>
      <c r="C2851" s="1"/>
      <c r="I2851" s="3"/>
      <c r="J2851" s="3"/>
      <c r="K2851" s="3"/>
      <c r="L2851" s="3"/>
    </row>
    <row r="2852" spans="2:12" x14ac:dyDescent="0.3">
      <c r="B2852" s="1"/>
      <c r="C2852" s="1"/>
      <c r="I2852" s="3"/>
      <c r="J2852" s="3"/>
      <c r="K2852" s="3"/>
      <c r="L2852" s="3"/>
    </row>
    <row r="2853" spans="2:12" x14ac:dyDescent="0.3">
      <c r="B2853" s="1"/>
      <c r="C2853" s="1"/>
      <c r="I2853" s="3"/>
      <c r="J2853" s="3"/>
      <c r="K2853" s="3"/>
      <c r="L2853" s="3"/>
    </row>
    <row r="2854" spans="2:12" x14ac:dyDescent="0.3">
      <c r="B2854" s="1"/>
      <c r="C2854" s="1"/>
      <c r="I2854" s="3"/>
      <c r="J2854" s="3"/>
      <c r="K2854" s="3"/>
      <c r="L2854" s="3"/>
    </row>
    <row r="2855" spans="2:12" x14ac:dyDescent="0.3">
      <c r="B2855" s="1"/>
      <c r="C2855" s="1"/>
      <c r="I2855" s="3"/>
      <c r="J2855" s="3"/>
      <c r="K2855" s="3"/>
      <c r="L2855" s="3"/>
    </row>
    <row r="2856" spans="2:12" x14ac:dyDescent="0.3">
      <c r="B2856" s="1"/>
      <c r="C2856" s="1"/>
      <c r="I2856" s="3"/>
      <c r="J2856" s="3"/>
      <c r="K2856" s="3"/>
      <c r="L2856" s="3"/>
    </row>
    <row r="2857" spans="2:12" x14ac:dyDescent="0.3">
      <c r="B2857" s="1"/>
      <c r="C2857" s="1"/>
      <c r="I2857" s="3"/>
      <c r="J2857" s="3"/>
      <c r="K2857" s="3"/>
      <c r="L2857" s="3"/>
    </row>
    <row r="2858" spans="2:12" x14ac:dyDescent="0.3">
      <c r="B2858" s="1"/>
      <c r="C2858" s="1"/>
      <c r="I2858" s="3"/>
      <c r="J2858" s="3"/>
      <c r="K2858" s="3"/>
      <c r="L2858" s="3"/>
    </row>
    <row r="2859" spans="2:12" x14ac:dyDescent="0.3">
      <c r="B2859" s="1"/>
      <c r="C2859" s="1"/>
      <c r="I2859" s="3"/>
      <c r="J2859" s="3"/>
      <c r="K2859" s="3"/>
      <c r="L2859" s="3"/>
    </row>
    <row r="2860" spans="2:12" x14ac:dyDescent="0.3">
      <c r="B2860" s="1"/>
      <c r="C2860" s="1"/>
      <c r="I2860" s="3"/>
      <c r="J2860" s="3"/>
      <c r="K2860" s="3"/>
      <c r="L2860" s="3"/>
    </row>
    <row r="2861" spans="2:12" x14ac:dyDescent="0.3">
      <c r="B2861" s="1"/>
      <c r="C2861" s="1"/>
      <c r="I2861" s="3"/>
      <c r="J2861" s="3"/>
      <c r="K2861" s="3"/>
      <c r="L2861" s="3"/>
    </row>
    <row r="2862" spans="2:12" x14ac:dyDescent="0.3">
      <c r="B2862" s="1"/>
      <c r="C2862" s="1"/>
      <c r="I2862" s="3"/>
      <c r="J2862" s="3"/>
      <c r="K2862" s="3"/>
      <c r="L2862" s="3"/>
    </row>
    <row r="2863" spans="2:12" x14ac:dyDescent="0.3">
      <c r="B2863" s="1"/>
      <c r="C2863" s="1"/>
      <c r="I2863" s="3"/>
      <c r="J2863" s="3"/>
      <c r="K2863" s="3"/>
      <c r="L2863" s="3"/>
    </row>
    <row r="2864" spans="2:12" x14ac:dyDescent="0.3">
      <c r="B2864" s="1"/>
      <c r="C2864" s="1"/>
      <c r="I2864" s="3"/>
      <c r="J2864" s="3"/>
      <c r="K2864" s="3"/>
      <c r="L2864" s="3"/>
    </row>
    <row r="2865" spans="2:12" x14ac:dyDescent="0.3">
      <c r="B2865" s="1"/>
      <c r="C2865" s="1"/>
      <c r="I2865" s="3"/>
      <c r="J2865" s="3"/>
      <c r="K2865" s="3"/>
      <c r="L2865" s="3"/>
    </row>
    <row r="2866" spans="2:12" x14ac:dyDescent="0.3">
      <c r="B2866" s="1"/>
      <c r="C2866" s="1"/>
      <c r="I2866" s="3"/>
      <c r="J2866" s="3"/>
      <c r="K2866" s="3"/>
      <c r="L2866" s="3"/>
    </row>
    <row r="2867" spans="2:12" x14ac:dyDescent="0.3">
      <c r="B2867" s="1"/>
      <c r="C2867" s="1"/>
      <c r="I2867" s="3"/>
      <c r="J2867" s="3"/>
      <c r="K2867" s="3"/>
      <c r="L2867" s="3"/>
    </row>
    <row r="2868" spans="2:12" x14ac:dyDescent="0.3">
      <c r="B2868" s="1"/>
      <c r="C2868" s="1"/>
      <c r="I2868" s="3"/>
      <c r="J2868" s="3"/>
      <c r="K2868" s="3"/>
      <c r="L2868" s="3"/>
    </row>
    <row r="2869" spans="2:12" x14ac:dyDescent="0.3">
      <c r="B2869" s="1"/>
      <c r="C2869" s="1"/>
      <c r="I2869" s="3"/>
      <c r="J2869" s="3"/>
      <c r="K2869" s="3"/>
      <c r="L2869" s="3"/>
    </row>
    <row r="2870" spans="2:12" x14ac:dyDescent="0.3">
      <c r="B2870" s="1"/>
      <c r="C2870" s="1"/>
      <c r="I2870" s="3"/>
      <c r="J2870" s="3"/>
      <c r="K2870" s="3"/>
      <c r="L2870" s="3"/>
    </row>
    <row r="2871" spans="2:12" x14ac:dyDescent="0.3">
      <c r="B2871" s="1"/>
      <c r="C2871" s="1"/>
      <c r="I2871" s="3"/>
      <c r="J2871" s="3"/>
      <c r="K2871" s="3"/>
      <c r="L2871" s="3"/>
    </row>
    <row r="2872" spans="2:12" x14ac:dyDescent="0.3">
      <c r="B2872" s="1"/>
      <c r="C2872" s="1"/>
      <c r="I2872" s="3"/>
      <c r="J2872" s="3"/>
      <c r="K2872" s="3"/>
      <c r="L2872" s="3"/>
    </row>
    <row r="2873" spans="2:12" x14ac:dyDescent="0.3">
      <c r="B2873" s="1"/>
      <c r="C2873" s="1"/>
      <c r="I2873" s="3"/>
      <c r="J2873" s="3"/>
      <c r="K2873" s="3"/>
      <c r="L2873" s="3"/>
    </row>
    <row r="2874" spans="2:12" x14ac:dyDescent="0.3">
      <c r="B2874" s="1"/>
      <c r="C2874" s="1"/>
      <c r="I2874" s="3"/>
      <c r="J2874" s="3"/>
      <c r="K2874" s="3"/>
      <c r="L2874" s="3"/>
    </row>
    <row r="2875" spans="2:12" x14ac:dyDescent="0.3">
      <c r="B2875" s="1"/>
      <c r="C2875" s="1"/>
      <c r="I2875" s="3"/>
      <c r="J2875" s="3"/>
      <c r="K2875" s="3"/>
      <c r="L2875" s="3"/>
    </row>
    <row r="2876" spans="2:12" x14ac:dyDescent="0.3">
      <c r="B2876" s="1"/>
      <c r="C2876" s="1"/>
      <c r="I2876" s="3"/>
      <c r="J2876" s="3"/>
      <c r="K2876" s="3"/>
      <c r="L2876" s="3"/>
    </row>
    <row r="2877" spans="2:12" x14ac:dyDescent="0.3">
      <c r="B2877" s="1"/>
      <c r="C2877" s="1"/>
      <c r="I2877" s="3"/>
      <c r="J2877" s="3"/>
      <c r="K2877" s="3"/>
      <c r="L2877" s="3"/>
    </row>
    <row r="2878" spans="2:12" x14ac:dyDescent="0.3">
      <c r="B2878" s="1"/>
      <c r="C2878" s="1"/>
      <c r="I2878" s="3"/>
      <c r="J2878" s="3"/>
      <c r="K2878" s="3"/>
      <c r="L2878" s="3"/>
    </row>
    <row r="2879" spans="2:12" x14ac:dyDescent="0.3">
      <c r="B2879" s="1"/>
      <c r="C2879" s="1"/>
      <c r="I2879" s="3"/>
      <c r="J2879" s="3"/>
      <c r="K2879" s="3"/>
      <c r="L2879" s="3"/>
    </row>
    <row r="2880" spans="2:12" x14ac:dyDescent="0.3">
      <c r="B2880" s="1"/>
      <c r="C2880" s="1"/>
      <c r="I2880" s="3"/>
      <c r="J2880" s="3"/>
      <c r="K2880" s="3"/>
      <c r="L2880" s="3"/>
    </row>
    <row r="2881" spans="2:12" x14ac:dyDescent="0.3">
      <c r="B2881" s="1"/>
      <c r="C2881" s="1"/>
      <c r="I2881" s="3"/>
      <c r="J2881" s="3"/>
      <c r="K2881" s="3"/>
      <c r="L2881" s="3"/>
    </row>
    <row r="2882" spans="2:12" x14ac:dyDescent="0.3">
      <c r="B2882" s="1"/>
      <c r="C2882" s="1"/>
      <c r="I2882" s="3"/>
      <c r="J2882" s="3"/>
      <c r="K2882" s="3"/>
      <c r="L2882" s="3"/>
    </row>
    <row r="2883" spans="2:12" x14ac:dyDescent="0.3">
      <c r="B2883" s="1"/>
      <c r="C2883" s="1"/>
      <c r="I2883" s="3"/>
      <c r="J2883" s="3"/>
      <c r="K2883" s="3"/>
      <c r="L2883" s="3"/>
    </row>
    <row r="2884" spans="2:12" x14ac:dyDescent="0.3">
      <c r="B2884" s="1"/>
      <c r="C2884" s="1"/>
      <c r="I2884" s="3"/>
      <c r="J2884" s="3"/>
      <c r="K2884" s="3"/>
      <c r="L2884" s="3"/>
    </row>
    <row r="2885" spans="2:12" x14ac:dyDescent="0.3">
      <c r="B2885" s="1"/>
      <c r="C2885" s="1"/>
      <c r="I2885" s="3"/>
      <c r="J2885" s="3"/>
      <c r="K2885" s="3"/>
      <c r="L2885" s="3"/>
    </row>
    <row r="2886" spans="2:12" x14ac:dyDescent="0.3">
      <c r="B2886" s="1"/>
      <c r="C2886" s="1"/>
      <c r="I2886" s="3"/>
      <c r="J2886" s="3"/>
      <c r="K2886" s="3"/>
      <c r="L2886" s="3"/>
    </row>
    <row r="2887" spans="2:12" x14ac:dyDescent="0.3">
      <c r="B2887" s="1"/>
      <c r="C2887" s="1"/>
      <c r="I2887" s="3"/>
      <c r="J2887" s="3"/>
      <c r="K2887" s="3"/>
      <c r="L2887" s="3"/>
    </row>
    <row r="2888" spans="2:12" x14ac:dyDescent="0.3">
      <c r="B2888" s="1"/>
      <c r="C2888" s="1"/>
      <c r="I2888" s="3"/>
      <c r="J2888" s="3"/>
      <c r="K2888" s="3"/>
      <c r="L2888" s="3"/>
    </row>
    <row r="2889" spans="2:12" x14ac:dyDescent="0.3">
      <c r="B2889" s="1"/>
      <c r="C2889" s="1"/>
      <c r="I2889" s="3"/>
      <c r="J2889" s="3"/>
      <c r="K2889" s="3"/>
      <c r="L2889" s="3"/>
    </row>
    <row r="2890" spans="2:12" x14ac:dyDescent="0.3">
      <c r="B2890" s="1"/>
      <c r="C2890" s="1"/>
      <c r="I2890" s="3"/>
      <c r="J2890" s="3"/>
      <c r="K2890" s="3"/>
      <c r="L2890" s="3"/>
    </row>
    <row r="2891" spans="2:12" x14ac:dyDescent="0.3">
      <c r="B2891" s="1"/>
      <c r="C2891" s="1"/>
      <c r="I2891" s="3"/>
      <c r="J2891" s="3"/>
      <c r="K2891" s="3"/>
      <c r="L2891" s="3"/>
    </row>
    <row r="2892" spans="2:12" x14ac:dyDescent="0.3">
      <c r="B2892" s="1"/>
      <c r="C2892" s="1"/>
      <c r="I2892" s="3"/>
      <c r="J2892" s="3"/>
      <c r="K2892" s="3"/>
      <c r="L2892" s="3"/>
    </row>
    <row r="2893" spans="2:12" x14ac:dyDescent="0.3">
      <c r="B2893" s="1"/>
      <c r="C2893" s="1"/>
      <c r="I2893" s="3"/>
      <c r="J2893" s="3"/>
      <c r="K2893" s="3"/>
      <c r="L2893" s="3"/>
    </row>
    <row r="2894" spans="2:12" x14ac:dyDescent="0.3">
      <c r="B2894" s="1"/>
      <c r="C2894" s="1"/>
      <c r="I2894" s="3"/>
      <c r="J2894" s="3"/>
      <c r="K2894" s="3"/>
      <c r="L2894" s="3"/>
    </row>
    <row r="2895" spans="2:12" x14ac:dyDescent="0.3">
      <c r="B2895" s="1"/>
      <c r="C2895" s="1"/>
      <c r="I2895" s="3"/>
      <c r="J2895" s="3"/>
      <c r="K2895" s="3"/>
      <c r="L2895" s="3"/>
    </row>
    <row r="2896" spans="2:12" x14ac:dyDescent="0.3">
      <c r="B2896" s="1"/>
      <c r="C2896" s="1"/>
      <c r="I2896" s="3"/>
      <c r="J2896" s="3"/>
      <c r="K2896" s="3"/>
      <c r="L2896" s="3"/>
    </row>
    <row r="2897" spans="2:12" x14ac:dyDescent="0.3">
      <c r="B2897" s="1"/>
      <c r="C2897" s="1"/>
      <c r="I2897" s="3"/>
      <c r="J2897" s="3"/>
      <c r="K2897" s="3"/>
      <c r="L2897" s="3"/>
    </row>
    <row r="2898" spans="2:12" x14ac:dyDescent="0.3">
      <c r="B2898" s="1"/>
      <c r="C2898" s="1"/>
      <c r="I2898" s="3"/>
      <c r="J2898" s="3"/>
      <c r="K2898" s="3"/>
      <c r="L2898" s="3"/>
    </row>
    <row r="2899" spans="2:12" x14ac:dyDescent="0.3">
      <c r="B2899" s="1"/>
      <c r="C2899" s="1"/>
      <c r="I2899" s="3"/>
      <c r="J2899" s="3"/>
      <c r="K2899" s="3"/>
      <c r="L2899" s="3"/>
    </row>
    <row r="2900" spans="2:12" x14ac:dyDescent="0.3">
      <c r="B2900" s="1"/>
      <c r="C2900" s="1"/>
      <c r="I2900" s="3"/>
      <c r="J2900" s="3"/>
      <c r="K2900" s="3"/>
      <c r="L2900" s="3"/>
    </row>
    <row r="2901" spans="2:12" x14ac:dyDescent="0.3">
      <c r="B2901" s="1"/>
      <c r="C2901" s="1"/>
      <c r="I2901" s="3"/>
      <c r="J2901" s="3"/>
      <c r="K2901" s="3"/>
      <c r="L2901" s="3"/>
    </row>
    <row r="2902" spans="2:12" x14ac:dyDescent="0.3">
      <c r="B2902" s="1"/>
      <c r="C2902" s="1"/>
      <c r="I2902" s="3"/>
      <c r="J2902" s="3"/>
      <c r="K2902" s="3"/>
      <c r="L2902" s="3"/>
    </row>
    <row r="2903" spans="2:12" x14ac:dyDescent="0.3">
      <c r="B2903" s="1"/>
      <c r="C2903" s="1"/>
      <c r="I2903" s="3"/>
      <c r="J2903" s="3"/>
      <c r="K2903" s="3"/>
      <c r="L2903" s="3"/>
    </row>
    <row r="2904" spans="2:12" x14ac:dyDescent="0.3">
      <c r="B2904" s="1"/>
      <c r="C2904" s="1"/>
      <c r="I2904" s="3"/>
      <c r="J2904" s="3"/>
      <c r="K2904" s="3"/>
      <c r="L2904" s="3"/>
    </row>
    <row r="2905" spans="2:12" x14ac:dyDescent="0.3">
      <c r="B2905" s="1"/>
      <c r="C2905" s="1"/>
      <c r="I2905" s="3"/>
      <c r="J2905" s="3"/>
      <c r="K2905" s="3"/>
      <c r="L2905" s="3"/>
    </row>
    <row r="2906" spans="2:12" x14ac:dyDescent="0.3">
      <c r="B2906" s="1"/>
      <c r="C2906" s="1"/>
      <c r="I2906" s="3"/>
      <c r="J2906" s="3"/>
      <c r="K2906" s="3"/>
      <c r="L2906" s="3"/>
    </row>
    <row r="2907" spans="2:12" x14ac:dyDescent="0.3">
      <c r="B2907" s="1"/>
      <c r="C2907" s="1"/>
      <c r="I2907" s="3"/>
      <c r="J2907" s="3"/>
      <c r="K2907" s="3"/>
      <c r="L2907" s="3"/>
    </row>
    <row r="2908" spans="2:12" x14ac:dyDescent="0.3">
      <c r="B2908" s="1"/>
      <c r="C2908" s="1"/>
      <c r="I2908" s="3"/>
      <c r="J2908" s="3"/>
      <c r="K2908" s="3"/>
      <c r="L2908" s="3"/>
    </row>
    <row r="2909" spans="2:12" x14ac:dyDescent="0.3">
      <c r="B2909" s="1"/>
      <c r="C2909" s="1"/>
      <c r="I2909" s="3"/>
      <c r="J2909" s="3"/>
      <c r="K2909" s="3"/>
      <c r="L2909" s="3"/>
    </row>
    <row r="2910" spans="2:12" x14ac:dyDescent="0.3">
      <c r="B2910" s="1"/>
      <c r="C2910" s="1"/>
      <c r="I2910" s="3"/>
      <c r="J2910" s="3"/>
      <c r="K2910" s="3"/>
      <c r="L2910" s="3"/>
    </row>
    <row r="2911" spans="2:12" x14ac:dyDescent="0.3">
      <c r="B2911" s="1"/>
      <c r="C2911" s="1"/>
      <c r="I2911" s="3"/>
      <c r="J2911" s="3"/>
      <c r="K2911" s="3"/>
      <c r="L2911" s="3"/>
    </row>
    <row r="2912" spans="2:12" x14ac:dyDescent="0.3">
      <c r="B2912" s="1"/>
      <c r="C2912" s="1"/>
      <c r="I2912" s="3"/>
      <c r="J2912" s="3"/>
      <c r="K2912" s="3"/>
      <c r="L2912" s="3"/>
    </row>
    <row r="2913" spans="2:12" x14ac:dyDescent="0.3">
      <c r="B2913" s="1"/>
      <c r="C2913" s="1"/>
      <c r="I2913" s="3"/>
      <c r="J2913" s="3"/>
      <c r="K2913" s="3"/>
      <c r="L2913" s="3"/>
    </row>
    <row r="2914" spans="2:12" x14ac:dyDescent="0.3">
      <c r="B2914" s="1"/>
      <c r="C2914" s="1"/>
      <c r="I2914" s="3"/>
      <c r="J2914" s="3"/>
      <c r="K2914" s="3"/>
      <c r="L2914" s="3"/>
    </row>
    <row r="2915" spans="2:12" x14ac:dyDescent="0.3">
      <c r="B2915" s="1"/>
      <c r="C2915" s="1"/>
      <c r="I2915" s="3"/>
      <c r="J2915" s="3"/>
      <c r="K2915" s="3"/>
      <c r="L2915" s="3"/>
    </row>
    <row r="2916" spans="2:12" x14ac:dyDescent="0.3">
      <c r="B2916" s="1"/>
      <c r="C2916" s="1"/>
      <c r="I2916" s="3"/>
      <c r="J2916" s="3"/>
      <c r="K2916" s="3"/>
      <c r="L2916" s="3"/>
    </row>
    <row r="2917" spans="2:12" x14ac:dyDescent="0.3">
      <c r="B2917" s="1"/>
      <c r="C2917" s="1"/>
      <c r="I2917" s="3"/>
      <c r="J2917" s="3"/>
      <c r="K2917" s="3"/>
      <c r="L2917" s="3"/>
    </row>
    <row r="2918" spans="2:12" x14ac:dyDescent="0.3">
      <c r="B2918" s="1"/>
      <c r="C2918" s="1"/>
      <c r="I2918" s="3"/>
      <c r="J2918" s="3"/>
      <c r="K2918" s="3"/>
      <c r="L2918" s="3"/>
    </row>
    <row r="2919" spans="2:12" x14ac:dyDescent="0.3">
      <c r="B2919" s="1"/>
      <c r="C2919" s="1"/>
      <c r="I2919" s="3"/>
      <c r="J2919" s="3"/>
      <c r="K2919" s="3"/>
      <c r="L2919" s="3"/>
    </row>
    <row r="2920" spans="2:12" x14ac:dyDescent="0.3">
      <c r="B2920" s="1"/>
      <c r="C2920" s="1"/>
      <c r="I2920" s="3"/>
      <c r="J2920" s="3"/>
      <c r="K2920" s="3"/>
      <c r="L2920" s="3"/>
    </row>
    <row r="2921" spans="2:12" x14ac:dyDescent="0.3">
      <c r="B2921" s="1"/>
      <c r="C2921" s="1"/>
      <c r="I2921" s="3"/>
      <c r="J2921" s="3"/>
      <c r="K2921" s="3"/>
      <c r="L2921" s="3"/>
    </row>
    <row r="2922" spans="2:12" x14ac:dyDescent="0.3">
      <c r="B2922" s="1"/>
      <c r="C2922" s="1"/>
      <c r="I2922" s="3"/>
      <c r="J2922" s="3"/>
      <c r="K2922" s="3"/>
      <c r="L2922" s="3"/>
    </row>
    <row r="2923" spans="2:12" x14ac:dyDescent="0.3">
      <c r="B2923" s="1"/>
      <c r="C2923" s="1"/>
      <c r="I2923" s="3"/>
      <c r="J2923" s="3"/>
      <c r="K2923" s="3"/>
      <c r="L2923" s="3"/>
    </row>
    <row r="2924" spans="2:12" x14ac:dyDescent="0.3">
      <c r="B2924" s="1"/>
      <c r="C2924" s="1"/>
      <c r="I2924" s="3"/>
      <c r="J2924" s="3"/>
      <c r="K2924" s="3"/>
      <c r="L2924" s="3"/>
    </row>
    <row r="2925" spans="2:12" x14ac:dyDescent="0.3">
      <c r="B2925" s="1"/>
      <c r="C2925" s="1"/>
      <c r="I2925" s="3"/>
      <c r="J2925" s="3"/>
      <c r="K2925" s="3"/>
      <c r="L2925" s="3"/>
    </row>
    <row r="2926" spans="2:12" x14ac:dyDescent="0.3">
      <c r="B2926" s="1"/>
      <c r="C2926" s="1"/>
      <c r="I2926" s="3"/>
      <c r="J2926" s="3"/>
      <c r="K2926" s="3"/>
      <c r="L2926" s="3"/>
    </row>
    <row r="2927" spans="2:12" x14ac:dyDescent="0.3">
      <c r="B2927" s="1"/>
      <c r="C2927" s="1"/>
      <c r="I2927" s="3"/>
      <c r="J2927" s="3"/>
      <c r="K2927" s="3"/>
      <c r="L2927" s="3"/>
    </row>
    <row r="2928" spans="2:12" x14ac:dyDescent="0.3">
      <c r="B2928" s="1"/>
      <c r="C2928" s="1"/>
      <c r="I2928" s="3"/>
      <c r="J2928" s="3"/>
      <c r="K2928" s="3"/>
      <c r="L2928" s="3"/>
    </row>
    <row r="2929" spans="2:12" x14ac:dyDescent="0.3">
      <c r="B2929" s="1"/>
      <c r="C2929" s="1"/>
      <c r="I2929" s="3"/>
      <c r="J2929" s="3"/>
      <c r="K2929" s="3"/>
      <c r="L2929" s="3"/>
    </row>
    <row r="2930" spans="2:12" x14ac:dyDescent="0.3">
      <c r="B2930" s="1"/>
      <c r="C2930" s="1"/>
      <c r="I2930" s="3"/>
      <c r="J2930" s="3"/>
      <c r="K2930" s="3"/>
      <c r="L2930" s="3"/>
    </row>
    <row r="2931" spans="2:12" x14ac:dyDescent="0.3">
      <c r="B2931" s="1"/>
      <c r="C2931" s="1"/>
      <c r="I2931" s="3"/>
      <c r="J2931" s="3"/>
      <c r="K2931" s="3"/>
      <c r="L2931" s="3"/>
    </row>
    <row r="2932" spans="2:12" x14ac:dyDescent="0.3">
      <c r="B2932" s="1"/>
      <c r="C2932" s="1"/>
      <c r="I2932" s="3"/>
      <c r="J2932" s="3"/>
      <c r="K2932" s="3"/>
      <c r="L2932" s="3"/>
    </row>
    <row r="2933" spans="2:12" x14ac:dyDescent="0.3">
      <c r="B2933" s="1"/>
      <c r="C2933" s="1"/>
      <c r="I2933" s="3"/>
      <c r="J2933" s="3"/>
      <c r="K2933" s="3"/>
      <c r="L2933" s="3"/>
    </row>
    <row r="2934" spans="2:12" x14ac:dyDescent="0.3">
      <c r="B2934" s="1"/>
      <c r="C2934" s="1"/>
      <c r="I2934" s="3"/>
      <c r="J2934" s="3"/>
      <c r="K2934" s="3"/>
      <c r="L2934" s="3"/>
    </row>
    <row r="2935" spans="2:12" x14ac:dyDescent="0.3">
      <c r="B2935" s="1"/>
      <c r="C2935" s="1"/>
      <c r="I2935" s="3"/>
      <c r="J2935" s="3"/>
      <c r="K2935" s="3"/>
      <c r="L2935" s="3"/>
    </row>
    <row r="2936" spans="2:12" x14ac:dyDescent="0.3">
      <c r="B2936" s="1"/>
      <c r="C2936" s="1"/>
      <c r="I2936" s="3"/>
      <c r="J2936" s="3"/>
      <c r="K2936" s="3"/>
      <c r="L2936" s="3"/>
    </row>
    <row r="2937" spans="2:12" x14ac:dyDescent="0.3">
      <c r="B2937" s="1"/>
      <c r="C2937" s="1"/>
      <c r="I2937" s="3"/>
      <c r="J2937" s="3"/>
      <c r="K2937" s="3"/>
      <c r="L2937" s="3"/>
    </row>
    <row r="2938" spans="2:12" x14ac:dyDescent="0.3">
      <c r="B2938" s="1"/>
      <c r="C2938" s="1"/>
      <c r="I2938" s="3"/>
      <c r="J2938" s="3"/>
      <c r="K2938" s="3"/>
      <c r="L2938" s="3"/>
    </row>
    <row r="2939" spans="2:12" x14ac:dyDescent="0.3">
      <c r="B2939" s="1"/>
      <c r="C2939" s="1"/>
      <c r="I2939" s="3"/>
      <c r="J2939" s="3"/>
      <c r="K2939" s="3"/>
      <c r="L2939" s="3"/>
    </row>
    <row r="2940" spans="2:12" x14ac:dyDescent="0.3">
      <c r="B2940" s="1"/>
      <c r="C2940" s="1"/>
      <c r="I2940" s="3"/>
      <c r="J2940" s="3"/>
      <c r="K2940" s="3"/>
      <c r="L2940" s="3"/>
    </row>
    <row r="2941" spans="2:12" x14ac:dyDescent="0.3">
      <c r="B2941" s="1"/>
      <c r="C2941" s="1"/>
      <c r="I2941" s="3"/>
      <c r="J2941" s="3"/>
      <c r="K2941" s="3"/>
      <c r="L2941" s="3"/>
    </row>
    <row r="2942" spans="2:12" x14ac:dyDescent="0.3">
      <c r="B2942" s="1"/>
      <c r="C2942" s="1"/>
      <c r="I2942" s="3"/>
      <c r="J2942" s="3"/>
      <c r="K2942" s="3"/>
      <c r="L2942" s="3"/>
    </row>
    <row r="2943" spans="2:12" x14ac:dyDescent="0.3">
      <c r="B2943" s="1"/>
      <c r="C2943" s="1"/>
      <c r="I2943" s="3"/>
      <c r="J2943" s="3"/>
      <c r="K2943" s="3"/>
      <c r="L2943" s="3"/>
    </row>
    <row r="2944" spans="2:12" x14ac:dyDescent="0.3">
      <c r="B2944" s="1"/>
      <c r="C2944" s="1"/>
      <c r="I2944" s="3"/>
      <c r="J2944" s="3"/>
      <c r="K2944" s="3"/>
      <c r="L2944" s="3"/>
    </row>
    <row r="2945" spans="2:12" x14ac:dyDescent="0.3">
      <c r="B2945" s="1"/>
      <c r="C2945" s="1"/>
      <c r="I2945" s="3"/>
      <c r="J2945" s="3"/>
      <c r="K2945" s="3"/>
      <c r="L2945" s="3"/>
    </row>
    <row r="2946" spans="2:12" x14ac:dyDescent="0.3">
      <c r="B2946" s="1"/>
      <c r="C2946" s="1"/>
      <c r="I2946" s="3"/>
      <c r="J2946" s="3"/>
      <c r="K2946" s="3"/>
      <c r="L2946" s="3"/>
    </row>
    <row r="2947" spans="2:12" x14ac:dyDescent="0.3">
      <c r="B2947" s="1"/>
      <c r="C2947" s="1"/>
      <c r="I2947" s="3"/>
      <c r="J2947" s="3"/>
      <c r="K2947" s="3"/>
      <c r="L2947" s="3"/>
    </row>
    <row r="2948" spans="2:12" x14ac:dyDescent="0.3">
      <c r="B2948" s="1"/>
      <c r="C2948" s="1"/>
      <c r="I2948" s="3"/>
      <c r="J2948" s="3"/>
      <c r="K2948" s="3"/>
      <c r="L2948" s="3"/>
    </row>
    <row r="2949" spans="2:12" x14ac:dyDescent="0.3">
      <c r="B2949" s="1"/>
      <c r="C2949" s="1"/>
      <c r="I2949" s="3"/>
      <c r="J2949" s="3"/>
      <c r="K2949" s="3"/>
      <c r="L2949" s="3"/>
    </row>
    <row r="2950" spans="2:12" x14ac:dyDescent="0.3">
      <c r="B2950" s="1"/>
      <c r="C2950" s="1"/>
      <c r="I2950" s="3"/>
      <c r="J2950" s="3"/>
      <c r="K2950" s="3"/>
      <c r="L2950" s="3"/>
    </row>
    <row r="2951" spans="2:12" x14ac:dyDescent="0.3">
      <c r="B2951" s="1"/>
      <c r="C2951" s="1"/>
      <c r="I2951" s="3"/>
      <c r="J2951" s="3"/>
      <c r="K2951" s="3"/>
      <c r="L2951" s="3"/>
    </row>
    <row r="2952" spans="2:12" x14ac:dyDescent="0.3">
      <c r="B2952" s="1"/>
      <c r="C2952" s="1"/>
      <c r="I2952" s="3"/>
      <c r="J2952" s="3"/>
      <c r="K2952" s="3"/>
      <c r="L2952" s="3"/>
    </row>
    <row r="2953" spans="2:12" x14ac:dyDescent="0.3">
      <c r="B2953" s="1"/>
      <c r="C2953" s="1"/>
      <c r="I2953" s="3"/>
      <c r="J2953" s="3"/>
      <c r="K2953" s="3"/>
      <c r="L2953" s="3"/>
    </row>
    <row r="2954" spans="2:12" x14ac:dyDescent="0.3">
      <c r="B2954" s="1"/>
      <c r="C2954" s="1"/>
      <c r="I2954" s="3"/>
      <c r="J2954" s="3"/>
      <c r="K2954" s="3"/>
      <c r="L2954" s="3"/>
    </row>
    <row r="2955" spans="2:12" x14ac:dyDescent="0.3">
      <c r="B2955" s="1"/>
      <c r="C2955" s="1"/>
      <c r="I2955" s="3"/>
      <c r="J2955" s="3"/>
      <c r="K2955" s="3"/>
      <c r="L2955" s="3"/>
    </row>
    <row r="2956" spans="2:12" x14ac:dyDescent="0.3">
      <c r="B2956" s="1"/>
      <c r="C2956" s="1"/>
      <c r="I2956" s="3"/>
      <c r="J2956" s="3"/>
      <c r="K2956" s="3"/>
      <c r="L2956" s="3"/>
    </row>
    <row r="2957" spans="2:12" x14ac:dyDescent="0.3">
      <c r="B2957" s="1"/>
      <c r="C2957" s="1"/>
      <c r="I2957" s="3"/>
      <c r="J2957" s="3"/>
      <c r="K2957" s="3"/>
      <c r="L2957" s="3"/>
    </row>
    <row r="2958" spans="2:12" x14ac:dyDescent="0.3">
      <c r="B2958" s="1"/>
      <c r="C2958" s="1"/>
      <c r="I2958" s="3"/>
      <c r="J2958" s="3"/>
      <c r="K2958" s="3"/>
      <c r="L2958" s="3"/>
    </row>
    <row r="2959" spans="2:12" x14ac:dyDescent="0.3">
      <c r="B2959" s="1"/>
      <c r="C2959" s="1"/>
      <c r="I2959" s="3"/>
      <c r="J2959" s="3"/>
      <c r="K2959" s="3"/>
      <c r="L2959" s="3"/>
    </row>
    <row r="2960" spans="2:12" x14ac:dyDescent="0.3">
      <c r="B2960" s="1"/>
      <c r="C2960" s="1"/>
      <c r="I2960" s="3"/>
      <c r="J2960" s="3"/>
      <c r="K2960" s="3"/>
      <c r="L2960" s="3"/>
    </row>
    <row r="2961" spans="2:12" x14ac:dyDescent="0.3">
      <c r="B2961" s="1"/>
      <c r="C2961" s="1"/>
      <c r="I2961" s="3"/>
      <c r="J2961" s="3"/>
      <c r="K2961" s="3"/>
      <c r="L2961" s="3"/>
    </row>
    <row r="2962" spans="2:12" x14ac:dyDescent="0.3">
      <c r="B2962" s="1"/>
      <c r="C2962" s="1"/>
      <c r="I2962" s="3"/>
      <c r="J2962" s="3"/>
      <c r="K2962" s="3"/>
      <c r="L2962" s="3"/>
    </row>
    <row r="2963" spans="2:12" x14ac:dyDescent="0.3">
      <c r="B2963" s="1"/>
      <c r="C2963" s="1"/>
      <c r="I2963" s="3"/>
      <c r="J2963" s="3"/>
      <c r="K2963" s="3"/>
      <c r="L2963" s="3"/>
    </row>
    <row r="2964" spans="2:12" x14ac:dyDescent="0.3">
      <c r="B2964" s="1"/>
      <c r="C2964" s="1"/>
      <c r="I2964" s="3"/>
      <c r="J2964" s="3"/>
      <c r="K2964" s="3"/>
      <c r="L2964" s="3"/>
    </row>
    <row r="2965" spans="2:12" x14ac:dyDescent="0.3">
      <c r="B2965" s="1"/>
      <c r="C2965" s="1"/>
      <c r="I2965" s="3"/>
      <c r="J2965" s="3"/>
      <c r="K2965" s="3"/>
      <c r="L2965" s="3"/>
    </row>
    <row r="2966" spans="2:12" x14ac:dyDescent="0.3">
      <c r="B2966" s="1"/>
      <c r="C2966" s="1"/>
      <c r="I2966" s="3"/>
      <c r="J2966" s="3"/>
      <c r="K2966" s="3"/>
      <c r="L2966" s="3"/>
    </row>
    <row r="2967" spans="2:12" x14ac:dyDescent="0.3">
      <c r="B2967" s="1"/>
      <c r="C2967" s="1"/>
      <c r="I2967" s="3"/>
      <c r="J2967" s="3"/>
      <c r="K2967" s="3"/>
      <c r="L2967" s="3"/>
    </row>
    <row r="2968" spans="2:12" x14ac:dyDescent="0.3">
      <c r="B2968" s="1"/>
      <c r="C2968" s="1"/>
      <c r="I2968" s="3"/>
      <c r="J2968" s="3"/>
      <c r="K2968" s="3"/>
      <c r="L2968" s="3"/>
    </row>
    <row r="2969" spans="2:12" x14ac:dyDescent="0.3">
      <c r="B2969" s="1"/>
      <c r="C2969" s="1"/>
      <c r="I2969" s="3"/>
      <c r="J2969" s="3"/>
      <c r="K2969" s="3"/>
      <c r="L2969" s="3"/>
    </row>
    <row r="2970" spans="2:12" x14ac:dyDescent="0.3">
      <c r="B2970" s="1"/>
      <c r="C2970" s="1"/>
      <c r="I2970" s="3"/>
      <c r="J2970" s="3"/>
      <c r="K2970" s="3"/>
      <c r="L2970" s="3"/>
    </row>
    <row r="2971" spans="2:12" x14ac:dyDescent="0.3">
      <c r="B2971" s="1"/>
      <c r="C2971" s="1"/>
      <c r="I2971" s="3"/>
      <c r="J2971" s="3"/>
      <c r="K2971" s="3"/>
      <c r="L2971" s="3"/>
    </row>
    <row r="2972" spans="2:12" x14ac:dyDescent="0.3">
      <c r="B2972" s="1"/>
      <c r="C2972" s="1"/>
      <c r="I2972" s="3"/>
      <c r="J2972" s="3"/>
      <c r="K2972" s="3"/>
      <c r="L2972" s="3"/>
    </row>
    <row r="2973" spans="2:12" x14ac:dyDescent="0.3">
      <c r="B2973" s="1"/>
      <c r="C2973" s="1"/>
      <c r="I2973" s="3"/>
      <c r="J2973" s="3"/>
      <c r="K2973" s="3"/>
      <c r="L2973" s="3"/>
    </row>
    <row r="2974" spans="2:12" x14ac:dyDescent="0.3">
      <c r="B2974" s="1"/>
      <c r="C2974" s="1"/>
      <c r="I2974" s="3"/>
      <c r="J2974" s="3"/>
      <c r="K2974" s="3"/>
      <c r="L2974" s="3"/>
    </row>
    <row r="2975" spans="2:12" x14ac:dyDescent="0.3">
      <c r="B2975" s="1"/>
      <c r="C2975" s="1"/>
      <c r="I2975" s="3"/>
      <c r="J2975" s="3"/>
      <c r="K2975" s="3"/>
      <c r="L2975" s="3"/>
    </row>
    <row r="2976" spans="2:12" x14ac:dyDescent="0.3">
      <c r="B2976" s="1"/>
      <c r="C2976" s="1"/>
      <c r="I2976" s="3"/>
      <c r="J2976" s="3"/>
      <c r="K2976" s="3"/>
      <c r="L2976" s="3"/>
    </row>
    <row r="2977" spans="2:12" x14ac:dyDescent="0.3">
      <c r="B2977" s="1"/>
      <c r="C2977" s="1"/>
      <c r="I2977" s="3"/>
      <c r="J2977" s="3"/>
      <c r="K2977" s="3"/>
      <c r="L2977" s="3"/>
    </row>
    <row r="2978" spans="2:12" x14ac:dyDescent="0.3">
      <c r="B2978" s="1"/>
      <c r="C2978" s="1"/>
      <c r="I2978" s="3"/>
      <c r="J2978" s="3"/>
      <c r="K2978" s="3"/>
      <c r="L2978" s="3"/>
    </row>
    <row r="2979" spans="2:12" x14ac:dyDescent="0.3">
      <c r="B2979" s="1"/>
      <c r="C2979" s="1"/>
      <c r="I2979" s="3"/>
      <c r="J2979" s="3"/>
      <c r="K2979" s="3"/>
      <c r="L2979" s="3"/>
    </row>
    <row r="2980" spans="2:12" x14ac:dyDescent="0.3">
      <c r="B2980" s="1"/>
      <c r="C2980" s="1"/>
      <c r="I2980" s="3"/>
      <c r="J2980" s="3"/>
      <c r="K2980" s="3"/>
      <c r="L2980" s="3"/>
    </row>
    <row r="2981" spans="2:12" x14ac:dyDescent="0.3">
      <c r="B2981" s="1"/>
      <c r="C2981" s="1"/>
      <c r="I2981" s="3"/>
      <c r="J2981" s="3"/>
      <c r="K2981" s="3"/>
      <c r="L2981" s="3"/>
    </row>
    <row r="2982" spans="2:12" x14ac:dyDescent="0.3">
      <c r="B2982" s="1"/>
      <c r="C2982" s="1"/>
      <c r="I2982" s="3"/>
      <c r="J2982" s="3"/>
      <c r="K2982" s="3"/>
      <c r="L2982" s="3"/>
    </row>
    <row r="2983" spans="2:12" x14ac:dyDescent="0.3">
      <c r="B2983" s="1"/>
      <c r="C2983" s="1"/>
      <c r="I2983" s="3"/>
      <c r="J2983" s="3"/>
      <c r="K2983" s="3"/>
      <c r="L2983" s="3"/>
    </row>
    <row r="2984" spans="2:12" x14ac:dyDescent="0.3">
      <c r="B2984" s="1"/>
      <c r="C2984" s="1"/>
      <c r="I2984" s="3"/>
      <c r="J2984" s="3"/>
      <c r="K2984" s="3"/>
      <c r="L2984" s="3"/>
    </row>
    <row r="2985" spans="2:12" x14ac:dyDescent="0.3">
      <c r="B2985" s="1"/>
      <c r="C2985" s="1"/>
      <c r="I2985" s="3"/>
      <c r="J2985" s="3"/>
      <c r="K2985" s="3"/>
      <c r="L2985" s="3"/>
    </row>
    <row r="2986" spans="2:12" x14ac:dyDescent="0.3">
      <c r="B2986" s="1"/>
      <c r="C2986" s="1"/>
      <c r="I2986" s="3"/>
      <c r="J2986" s="3"/>
      <c r="K2986" s="3"/>
      <c r="L2986" s="3"/>
    </row>
    <row r="2987" spans="2:12" x14ac:dyDescent="0.3">
      <c r="B2987" s="1"/>
      <c r="C2987" s="1"/>
      <c r="I2987" s="3"/>
      <c r="J2987" s="3"/>
      <c r="K2987" s="3"/>
      <c r="L2987" s="3"/>
    </row>
    <row r="2988" spans="2:12" x14ac:dyDescent="0.3">
      <c r="B2988" s="1"/>
      <c r="C2988" s="1"/>
      <c r="I2988" s="3"/>
      <c r="J2988" s="3"/>
      <c r="K2988" s="3"/>
      <c r="L2988" s="3"/>
    </row>
    <row r="2989" spans="2:12" x14ac:dyDescent="0.3">
      <c r="B2989" s="1"/>
      <c r="C2989" s="1"/>
      <c r="I2989" s="3"/>
      <c r="J2989" s="3"/>
      <c r="K2989" s="3"/>
      <c r="L2989" s="3"/>
    </row>
    <row r="2990" spans="2:12" x14ac:dyDescent="0.3">
      <c r="B2990" s="1"/>
      <c r="C2990" s="1"/>
      <c r="I2990" s="3"/>
      <c r="J2990" s="3"/>
      <c r="K2990" s="3"/>
      <c r="L2990" s="3"/>
    </row>
    <row r="2991" spans="2:12" x14ac:dyDescent="0.3">
      <c r="B2991" s="1"/>
      <c r="C2991" s="1"/>
      <c r="I2991" s="3"/>
      <c r="J2991" s="3"/>
      <c r="K2991" s="3"/>
      <c r="L2991" s="3"/>
    </row>
    <row r="2992" spans="2:12" x14ac:dyDescent="0.3">
      <c r="B2992" s="1"/>
      <c r="C2992" s="1"/>
      <c r="I2992" s="3"/>
      <c r="J2992" s="3"/>
      <c r="K2992" s="3"/>
      <c r="L2992" s="3"/>
    </row>
    <row r="2993" spans="2:12" x14ac:dyDescent="0.3">
      <c r="B2993" s="1"/>
      <c r="C2993" s="1"/>
      <c r="I2993" s="3"/>
      <c r="J2993" s="3"/>
      <c r="K2993" s="3"/>
      <c r="L2993" s="3"/>
    </row>
    <row r="2994" spans="2:12" x14ac:dyDescent="0.3">
      <c r="B2994" s="1"/>
      <c r="C2994" s="1"/>
      <c r="I2994" s="3"/>
      <c r="J2994" s="3"/>
      <c r="K2994" s="3"/>
      <c r="L2994" s="3"/>
    </row>
    <row r="2995" spans="2:12" x14ac:dyDescent="0.3">
      <c r="B2995" s="1"/>
      <c r="C2995" s="1"/>
      <c r="I2995" s="3"/>
      <c r="J2995" s="3"/>
      <c r="K2995" s="3"/>
      <c r="L2995" s="3"/>
    </row>
    <row r="2996" spans="2:12" x14ac:dyDescent="0.3">
      <c r="B2996" s="1"/>
      <c r="C2996" s="1"/>
      <c r="I2996" s="3"/>
      <c r="J2996" s="3"/>
      <c r="K2996" s="3"/>
      <c r="L2996" s="3"/>
    </row>
    <row r="2997" spans="2:12" x14ac:dyDescent="0.3">
      <c r="B2997" s="1"/>
      <c r="C2997" s="1"/>
      <c r="I2997" s="3"/>
      <c r="J2997" s="3"/>
      <c r="K2997" s="3"/>
      <c r="L2997" s="3"/>
    </row>
    <row r="2998" spans="2:12" x14ac:dyDescent="0.3">
      <c r="B2998" s="1"/>
      <c r="C2998" s="1"/>
      <c r="I2998" s="3"/>
      <c r="J2998" s="3"/>
      <c r="K2998" s="3"/>
      <c r="L2998" s="3"/>
    </row>
    <row r="2999" spans="2:12" x14ac:dyDescent="0.3">
      <c r="B2999" s="1"/>
      <c r="C2999" s="1"/>
      <c r="I2999" s="3"/>
      <c r="J2999" s="3"/>
      <c r="K2999" s="3"/>
      <c r="L2999" s="3"/>
    </row>
    <row r="3000" spans="2:12" x14ac:dyDescent="0.3">
      <c r="B3000" s="1"/>
      <c r="C3000" s="1"/>
      <c r="I3000" s="3"/>
      <c r="J3000" s="3"/>
      <c r="K3000" s="3"/>
      <c r="L3000" s="3"/>
    </row>
    <row r="3001" spans="2:12" x14ac:dyDescent="0.3">
      <c r="B3001" s="1"/>
      <c r="C3001" s="1"/>
      <c r="I3001" s="3"/>
      <c r="J3001" s="3"/>
      <c r="K3001" s="3"/>
      <c r="L3001" s="3"/>
    </row>
    <row r="3002" spans="2:12" x14ac:dyDescent="0.3">
      <c r="B3002" s="1"/>
      <c r="C3002" s="1"/>
      <c r="I3002" s="3"/>
      <c r="J3002" s="3"/>
      <c r="K3002" s="3"/>
      <c r="L3002" s="3"/>
    </row>
    <row r="3003" spans="2:12" x14ac:dyDescent="0.3">
      <c r="B3003" s="1"/>
      <c r="C3003" s="1"/>
      <c r="I3003" s="3"/>
      <c r="J3003" s="3"/>
      <c r="K3003" s="3"/>
      <c r="L3003" s="3"/>
    </row>
    <row r="3004" spans="2:12" x14ac:dyDescent="0.3">
      <c r="B3004" s="1"/>
      <c r="C3004" s="1"/>
      <c r="I3004" s="3"/>
      <c r="J3004" s="3"/>
      <c r="K3004" s="3"/>
      <c r="L3004" s="3"/>
    </row>
    <row r="3005" spans="2:12" x14ac:dyDescent="0.3">
      <c r="B3005" s="1"/>
      <c r="C3005" s="1"/>
      <c r="I3005" s="3"/>
      <c r="J3005" s="3"/>
      <c r="K3005" s="3"/>
      <c r="L3005" s="3"/>
    </row>
    <row r="3006" spans="2:12" x14ac:dyDescent="0.3">
      <c r="B3006" s="1"/>
      <c r="C3006" s="1"/>
      <c r="I3006" s="3"/>
      <c r="J3006" s="3"/>
      <c r="K3006" s="3"/>
      <c r="L3006" s="3"/>
    </row>
    <row r="3007" spans="2:12" x14ac:dyDescent="0.3">
      <c r="B3007" s="1"/>
      <c r="C3007" s="1"/>
      <c r="I3007" s="3"/>
      <c r="J3007" s="3"/>
      <c r="K3007" s="3"/>
      <c r="L3007" s="3"/>
    </row>
    <row r="3008" spans="2:12" x14ac:dyDescent="0.3">
      <c r="B3008" s="1"/>
      <c r="C3008" s="1"/>
      <c r="I3008" s="3"/>
      <c r="J3008" s="3"/>
      <c r="K3008" s="3"/>
      <c r="L3008" s="3"/>
    </row>
    <row r="3009" spans="2:12" x14ac:dyDescent="0.3">
      <c r="B3009" s="1"/>
      <c r="C3009" s="1"/>
      <c r="I3009" s="3"/>
      <c r="J3009" s="3"/>
      <c r="K3009" s="3"/>
      <c r="L3009" s="3"/>
    </row>
    <row r="3010" spans="2:12" x14ac:dyDescent="0.3">
      <c r="B3010" s="1"/>
      <c r="C3010" s="1"/>
      <c r="I3010" s="3"/>
      <c r="J3010" s="3"/>
      <c r="K3010" s="3"/>
      <c r="L3010" s="3"/>
    </row>
    <row r="3011" spans="2:12" x14ac:dyDescent="0.3">
      <c r="B3011" s="1"/>
      <c r="C3011" s="1"/>
      <c r="I3011" s="3"/>
      <c r="J3011" s="3"/>
      <c r="K3011" s="3"/>
      <c r="L3011" s="3"/>
    </row>
    <row r="3012" spans="2:12" x14ac:dyDescent="0.3">
      <c r="B3012" s="1"/>
      <c r="C3012" s="1"/>
      <c r="I3012" s="3"/>
      <c r="J3012" s="3"/>
      <c r="K3012" s="3"/>
      <c r="L3012" s="3"/>
    </row>
    <row r="3013" spans="2:12" x14ac:dyDescent="0.3">
      <c r="B3013" s="1"/>
      <c r="C3013" s="1"/>
      <c r="I3013" s="3"/>
      <c r="J3013" s="3"/>
      <c r="K3013" s="3"/>
      <c r="L3013" s="3"/>
    </row>
    <row r="3014" spans="2:12" x14ac:dyDescent="0.3">
      <c r="B3014" s="1"/>
      <c r="C3014" s="1"/>
      <c r="I3014" s="3"/>
      <c r="J3014" s="3"/>
      <c r="K3014" s="3"/>
      <c r="L3014" s="3"/>
    </row>
    <row r="3015" spans="2:12" x14ac:dyDescent="0.3">
      <c r="B3015" s="1"/>
      <c r="C3015" s="1"/>
      <c r="I3015" s="3"/>
      <c r="J3015" s="3"/>
      <c r="K3015" s="3"/>
      <c r="L3015" s="3"/>
    </row>
    <row r="3016" spans="2:12" x14ac:dyDescent="0.3">
      <c r="B3016" s="1"/>
      <c r="C3016" s="1"/>
      <c r="I3016" s="3"/>
      <c r="J3016" s="3"/>
      <c r="K3016" s="3"/>
      <c r="L3016" s="3"/>
    </row>
    <row r="3017" spans="2:12" x14ac:dyDescent="0.3">
      <c r="B3017" s="1"/>
      <c r="C3017" s="1"/>
      <c r="I3017" s="3"/>
      <c r="J3017" s="3"/>
      <c r="K3017" s="3"/>
      <c r="L3017" s="3"/>
    </row>
    <row r="3018" spans="2:12" x14ac:dyDescent="0.3">
      <c r="B3018" s="1"/>
      <c r="C3018" s="1"/>
      <c r="I3018" s="3"/>
      <c r="J3018" s="3"/>
      <c r="K3018" s="3"/>
      <c r="L3018" s="3"/>
    </row>
    <row r="3019" spans="2:12" x14ac:dyDescent="0.3">
      <c r="B3019" s="1"/>
      <c r="C3019" s="1"/>
      <c r="I3019" s="3"/>
      <c r="J3019" s="3"/>
      <c r="K3019" s="3"/>
      <c r="L3019" s="3"/>
    </row>
    <row r="3020" spans="2:12" x14ac:dyDescent="0.3">
      <c r="B3020" s="1"/>
      <c r="C3020" s="1"/>
      <c r="I3020" s="3"/>
      <c r="J3020" s="3"/>
      <c r="K3020" s="3"/>
      <c r="L3020" s="3"/>
    </row>
    <row r="3021" spans="2:12" x14ac:dyDescent="0.3">
      <c r="B3021" s="1"/>
      <c r="C3021" s="1"/>
      <c r="I3021" s="3"/>
      <c r="J3021" s="3"/>
      <c r="K3021" s="3"/>
      <c r="L3021" s="3"/>
    </row>
    <row r="3022" spans="2:12" x14ac:dyDescent="0.3">
      <c r="B3022" s="1"/>
      <c r="C3022" s="1"/>
      <c r="I3022" s="3"/>
      <c r="J3022" s="3"/>
      <c r="K3022" s="3"/>
      <c r="L3022" s="3"/>
    </row>
    <row r="3023" spans="2:12" x14ac:dyDescent="0.3">
      <c r="B3023" s="1"/>
      <c r="C3023" s="1"/>
      <c r="I3023" s="3"/>
      <c r="J3023" s="3"/>
      <c r="K3023" s="3"/>
      <c r="L3023" s="3"/>
    </row>
    <row r="3024" spans="2:12" x14ac:dyDescent="0.3">
      <c r="B3024" s="1"/>
      <c r="C3024" s="1"/>
      <c r="I3024" s="3"/>
      <c r="J3024" s="3"/>
      <c r="K3024" s="3"/>
      <c r="L3024" s="3"/>
    </row>
    <row r="3025" spans="2:12" x14ac:dyDescent="0.3">
      <c r="B3025" s="1"/>
      <c r="C3025" s="1"/>
      <c r="I3025" s="3"/>
      <c r="J3025" s="3"/>
      <c r="K3025" s="3"/>
      <c r="L3025" s="3"/>
    </row>
    <row r="3026" spans="2:12" x14ac:dyDescent="0.3">
      <c r="B3026" s="1"/>
      <c r="C3026" s="1"/>
      <c r="I3026" s="3"/>
      <c r="J3026" s="3"/>
      <c r="K3026" s="3"/>
      <c r="L3026" s="3"/>
    </row>
    <row r="3027" spans="2:12" x14ac:dyDescent="0.3">
      <c r="B3027" s="1"/>
      <c r="C3027" s="1"/>
      <c r="I3027" s="3"/>
      <c r="J3027" s="3"/>
      <c r="K3027" s="3"/>
      <c r="L3027" s="3"/>
    </row>
    <row r="3028" spans="2:12" x14ac:dyDescent="0.3">
      <c r="B3028" s="1"/>
      <c r="C3028" s="1"/>
      <c r="I3028" s="3"/>
      <c r="J3028" s="3"/>
      <c r="K3028" s="3"/>
      <c r="L3028" s="3"/>
    </row>
    <row r="3029" spans="2:12" x14ac:dyDescent="0.3">
      <c r="B3029" s="1"/>
      <c r="C3029" s="1"/>
      <c r="I3029" s="3"/>
      <c r="J3029" s="3"/>
      <c r="K3029" s="3"/>
      <c r="L3029" s="3"/>
    </row>
    <row r="3030" spans="2:12" x14ac:dyDescent="0.3">
      <c r="B3030" s="1"/>
      <c r="C3030" s="1"/>
      <c r="I3030" s="3"/>
      <c r="J3030" s="3"/>
      <c r="K3030" s="3"/>
      <c r="L3030" s="3"/>
    </row>
    <row r="3031" spans="2:12" x14ac:dyDescent="0.3">
      <c r="B3031" s="1"/>
      <c r="C3031" s="1"/>
      <c r="I3031" s="3"/>
      <c r="J3031" s="3"/>
      <c r="K3031" s="3"/>
      <c r="L3031" s="3"/>
    </row>
    <row r="3032" spans="2:12" x14ac:dyDescent="0.3">
      <c r="B3032" s="1"/>
      <c r="C3032" s="1"/>
      <c r="I3032" s="3"/>
      <c r="J3032" s="3"/>
      <c r="K3032" s="3"/>
      <c r="L3032" s="3"/>
    </row>
    <row r="3033" spans="2:12" x14ac:dyDescent="0.3">
      <c r="B3033" s="1"/>
      <c r="C3033" s="1"/>
      <c r="I3033" s="3"/>
      <c r="J3033" s="3"/>
      <c r="K3033" s="3"/>
      <c r="L3033" s="3"/>
    </row>
    <row r="3034" spans="2:12" x14ac:dyDescent="0.3">
      <c r="B3034" s="1"/>
      <c r="C3034" s="1"/>
      <c r="I3034" s="3"/>
      <c r="J3034" s="3"/>
      <c r="K3034" s="3"/>
      <c r="L3034" s="3"/>
    </row>
    <row r="3035" spans="2:12" x14ac:dyDescent="0.3">
      <c r="B3035" s="1"/>
      <c r="C3035" s="1"/>
      <c r="I3035" s="3"/>
      <c r="J3035" s="3"/>
      <c r="K3035" s="3"/>
      <c r="L3035" s="3"/>
    </row>
    <row r="3036" spans="2:12" x14ac:dyDescent="0.3">
      <c r="B3036" s="1"/>
      <c r="C3036" s="1"/>
      <c r="I3036" s="3"/>
      <c r="J3036" s="3"/>
      <c r="K3036" s="3"/>
      <c r="L3036" s="3"/>
    </row>
    <row r="3037" spans="2:12" x14ac:dyDescent="0.3">
      <c r="B3037" s="1"/>
      <c r="C3037" s="1"/>
      <c r="I3037" s="3"/>
      <c r="J3037" s="3"/>
      <c r="K3037" s="3"/>
      <c r="L3037" s="3"/>
    </row>
    <row r="3038" spans="2:12" x14ac:dyDescent="0.3">
      <c r="B3038" s="1"/>
      <c r="C3038" s="1"/>
      <c r="I3038" s="3"/>
      <c r="J3038" s="3"/>
      <c r="K3038" s="3"/>
      <c r="L3038" s="3"/>
    </row>
    <row r="3039" spans="2:12" x14ac:dyDescent="0.3">
      <c r="B3039" s="1"/>
      <c r="C3039" s="1"/>
      <c r="I3039" s="3"/>
      <c r="J3039" s="3"/>
      <c r="K3039" s="3"/>
      <c r="L3039" s="3"/>
    </row>
    <row r="3040" spans="2:12" x14ac:dyDescent="0.3">
      <c r="B3040" s="1"/>
      <c r="C3040" s="1"/>
      <c r="I3040" s="3"/>
      <c r="J3040" s="3"/>
      <c r="K3040" s="3"/>
      <c r="L3040" s="3"/>
    </row>
    <row r="3041" spans="2:12" x14ac:dyDescent="0.3">
      <c r="B3041" s="1"/>
      <c r="C3041" s="1"/>
      <c r="I3041" s="3"/>
      <c r="J3041" s="3"/>
      <c r="K3041" s="3"/>
      <c r="L3041" s="3"/>
    </row>
    <row r="3042" spans="2:12" x14ac:dyDescent="0.3">
      <c r="B3042" s="1"/>
      <c r="C3042" s="1"/>
      <c r="I3042" s="3"/>
      <c r="J3042" s="3"/>
      <c r="K3042" s="3"/>
      <c r="L3042" s="3"/>
    </row>
    <row r="3043" spans="2:12" x14ac:dyDescent="0.3">
      <c r="B3043" s="1"/>
      <c r="C3043" s="1"/>
      <c r="I3043" s="3"/>
      <c r="J3043" s="3"/>
      <c r="K3043" s="3"/>
      <c r="L3043" s="3"/>
    </row>
    <row r="3044" spans="2:12" x14ac:dyDescent="0.3">
      <c r="B3044" s="1"/>
      <c r="C3044" s="1"/>
      <c r="I3044" s="3"/>
      <c r="J3044" s="3"/>
      <c r="K3044" s="3"/>
      <c r="L3044" s="3"/>
    </row>
    <row r="3045" spans="2:12" x14ac:dyDescent="0.3">
      <c r="B3045" s="1"/>
      <c r="C3045" s="1"/>
      <c r="I3045" s="3"/>
      <c r="J3045" s="3"/>
      <c r="K3045" s="3"/>
      <c r="L3045" s="3"/>
    </row>
    <row r="3046" spans="2:12" x14ac:dyDescent="0.3">
      <c r="B3046" s="1"/>
      <c r="C3046" s="1"/>
      <c r="I3046" s="3"/>
      <c r="J3046" s="3"/>
      <c r="K3046" s="3"/>
      <c r="L3046" s="3"/>
    </row>
    <row r="3047" spans="2:12" x14ac:dyDescent="0.3">
      <c r="B3047" s="1"/>
      <c r="C3047" s="1"/>
      <c r="I3047" s="3"/>
      <c r="J3047" s="3"/>
      <c r="K3047" s="3"/>
      <c r="L3047" s="3"/>
    </row>
    <row r="3048" spans="2:12" x14ac:dyDescent="0.3">
      <c r="B3048" s="1"/>
      <c r="C3048" s="1"/>
      <c r="I3048" s="3"/>
      <c r="J3048" s="3"/>
      <c r="K3048" s="3"/>
      <c r="L3048" s="3"/>
    </row>
    <row r="3049" spans="2:12" x14ac:dyDescent="0.3">
      <c r="B3049" s="1"/>
      <c r="C3049" s="1"/>
      <c r="I3049" s="3"/>
      <c r="J3049" s="3"/>
      <c r="K3049" s="3"/>
      <c r="L3049" s="3"/>
    </row>
    <row r="3050" spans="2:12" x14ac:dyDescent="0.3">
      <c r="B3050" s="1"/>
      <c r="C3050" s="1"/>
      <c r="I3050" s="3"/>
      <c r="J3050" s="3"/>
      <c r="K3050" s="3"/>
      <c r="L3050" s="3"/>
    </row>
    <row r="3051" spans="2:12" x14ac:dyDescent="0.3">
      <c r="B3051" s="1"/>
      <c r="C3051" s="1"/>
      <c r="I3051" s="3"/>
      <c r="J3051" s="3"/>
      <c r="K3051" s="3"/>
      <c r="L3051" s="3"/>
    </row>
    <row r="3052" spans="2:12" x14ac:dyDescent="0.3">
      <c r="B3052" s="1"/>
      <c r="C3052" s="1"/>
      <c r="I3052" s="3"/>
      <c r="J3052" s="3"/>
      <c r="K3052" s="3"/>
      <c r="L3052" s="3"/>
    </row>
    <row r="3053" spans="2:12" x14ac:dyDescent="0.3">
      <c r="B3053" s="1"/>
      <c r="C3053" s="1"/>
      <c r="I3053" s="3"/>
      <c r="J3053" s="3"/>
      <c r="K3053" s="3"/>
      <c r="L3053" s="3"/>
    </row>
    <row r="3054" spans="2:12" x14ac:dyDescent="0.3">
      <c r="B3054" s="1"/>
      <c r="C3054" s="1"/>
      <c r="I3054" s="3"/>
      <c r="J3054" s="3"/>
      <c r="K3054" s="3"/>
      <c r="L3054" s="3"/>
    </row>
    <row r="3055" spans="2:12" x14ac:dyDescent="0.3">
      <c r="B3055" s="1"/>
      <c r="C3055" s="1"/>
      <c r="I3055" s="3"/>
      <c r="J3055" s="3"/>
      <c r="K3055" s="3"/>
      <c r="L3055" s="3"/>
    </row>
    <row r="3056" spans="2:12" x14ac:dyDescent="0.3">
      <c r="B3056" s="1"/>
      <c r="C3056" s="1"/>
      <c r="I3056" s="3"/>
      <c r="J3056" s="3"/>
      <c r="K3056" s="3"/>
      <c r="L3056" s="3"/>
    </row>
    <row r="3057" spans="2:12" x14ac:dyDescent="0.3">
      <c r="B3057" s="1"/>
      <c r="C3057" s="1"/>
      <c r="I3057" s="3"/>
      <c r="J3057" s="3"/>
      <c r="K3057" s="3"/>
      <c r="L3057" s="3"/>
    </row>
    <row r="3058" spans="2:12" x14ac:dyDescent="0.3">
      <c r="B3058" s="1"/>
      <c r="C3058" s="1"/>
      <c r="I3058" s="3"/>
      <c r="J3058" s="3"/>
      <c r="K3058" s="3"/>
      <c r="L3058" s="3"/>
    </row>
    <row r="3059" spans="2:12" x14ac:dyDescent="0.3">
      <c r="B3059" s="1"/>
      <c r="C3059" s="1"/>
      <c r="I3059" s="3"/>
      <c r="J3059" s="3"/>
      <c r="K3059" s="3"/>
      <c r="L3059" s="3"/>
    </row>
    <row r="3060" spans="2:12" x14ac:dyDescent="0.3">
      <c r="B3060" s="1"/>
      <c r="C3060" s="1"/>
      <c r="I3060" s="3"/>
      <c r="J3060" s="3"/>
      <c r="K3060" s="3"/>
      <c r="L3060" s="3"/>
    </row>
    <row r="3061" spans="2:12" x14ac:dyDescent="0.3">
      <c r="B3061" s="1"/>
      <c r="C3061" s="1"/>
      <c r="I3061" s="3"/>
      <c r="J3061" s="3"/>
      <c r="K3061" s="3"/>
      <c r="L3061" s="3"/>
    </row>
    <row r="3062" spans="2:12" x14ac:dyDescent="0.3">
      <c r="B3062" s="1"/>
      <c r="C3062" s="1"/>
      <c r="I3062" s="3"/>
      <c r="J3062" s="3"/>
      <c r="K3062" s="3"/>
      <c r="L3062" s="3"/>
    </row>
    <row r="3063" spans="2:12" x14ac:dyDescent="0.3">
      <c r="B3063" s="1"/>
      <c r="C3063" s="1"/>
      <c r="I3063" s="3"/>
      <c r="J3063" s="3"/>
      <c r="K3063" s="3"/>
      <c r="L3063" s="3"/>
    </row>
    <row r="3064" spans="2:12" x14ac:dyDescent="0.3">
      <c r="B3064" s="1"/>
      <c r="C3064" s="1"/>
      <c r="I3064" s="3"/>
      <c r="J3064" s="3"/>
      <c r="K3064" s="3"/>
      <c r="L3064" s="3"/>
    </row>
    <row r="3065" spans="2:12" x14ac:dyDescent="0.3">
      <c r="B3065" s="1"/>
      <c r="C3065" s="1"/>
      <c r="I3065" s="3"/>
      <c r="J3065" s="3"/>
      <c r="K3065" s="3"/>
      <c r="L3065" s="3"/>
    </row>
    <row r="3066" spans="2:12" x14ac:dyDescent="0.3">
      <c r="B3066" s="1"/>
      <c r="C3066" s="1"/>
      <c r="I3066" s="3"/>
      <c r="J3066" s="3"/>
      <c r="K3066" s="3"/>
      <c r="L3066" s="3"/>
    </row>
    <row r="3067" spans="2:12" x14ac:dyDescent="0.3">
      <c r="B3067" s="1"/>
      <c r="C3067" s="1"/>
      <c r="I3067" s="3"/>
      <c r="J3067" s="3"/>
      <c r="K3067" s="3"/>
      <c r="L3067" s="3"/>
    </row>
    <row r="3068" spans="2:12" x14ac:dyDescent="0.3">
      <c r="B3068" s="1"/>
      <c r="C3068" s="1"/>
      <c r="I3068" s="3"/>
      <c r="J3068" s="3"/>
      <c r="K3068" s="3"/>
      <c r="L3068" s="3"/>
    </row>
    <row r="3069" spans="2:12" x14ac:dyDescent="0.3">
      <c r="B3069" s="1"/>
      <c r="C3069" s="1"/>
      <c r="I3069" s="3"/>
      <c r="J3069" s="3"/>
      <c r="K3069" s="3"/>
      <c r="L3069" s="3"/>
    </row>
    <row r="3070" spans="2:12" x14ac:dyDescent="0.3">
      <c r="B3070" s="1"/>
      <c r="C3070" s="1"/>
      <c r="I3070" s="3"/>
      <c r="J3070" s="3"/>
      <c r="K3070" s="3"/>
      <c r="L3070" s="3"/>
    </row>
    <row r="3071" spans="2:12" x14ac:dyDescent="0.3">
      <c r="B3071" s="1"/>
      <c r="C3071" s="1"/>
      <c r="I3071" s="3"/>
      <c r="J3071" s="3"/>
      <c r="K3071" s="3"/>
      <c r="L3071" s="3"/>
    </row>
    <row r="3072" spans="2:12" x14ac:dyDescent="0.3">
      <c r="B3072" s="1"/>
      <c r="C3072" s="1"/>
      <c r="I3072" s="3"/>
      <c r="J3072" s="3"/>
      <c r="K3072" s="3"/>
      <c r="L3072" s="3"/>
    </row>
    <row r="3073" spans="2:12" x14ac:dyDescent="0.3">
      <c r="B3073" s="1"/>
      <c r="C3073" s="1"/>
      <c r="I3073" s="3"/>
      <c r="J3073" s="3"/>
      <c r="K3073" s="3"/>
      <c r="L3073" s="3"/>
    </row>
    <row r="3074" spans="2:12" x14ac:dyDescent="0.3">
      <c r="B3074" s="1"/>
      <c r="C3074" s="1"/>
      <c r="I3074" s="3"/>
      <c r="J3074" s="3"/>
      <c r="K3074" s="3"/>
      <c r="L3074" s="3"/>
    </row>
    <row r="3075" spans="2:12" x14ac:dyDescent="0.3">
      <c r="B3075" s="1"/>
      <c r="C3075" s="1"/>
      <c r="I3075" s="3"/>
      <c r="J3075" s="3"/>
      <c r="K3075" s="3"/>
      <c r="L3075" s="3"/>
    </row>
    <row r="3076" spans="2:12" x14ac:dyDescent="0.3">
      <c r="B3076" s="1"/>
      <c r="C3076" s="1"/>
      <c r="I3076" s="3"/>
      <c r="J3076" s="3"/>
      <c r="K3076" s="3"/>
      <c r="L3076" s="3"/>
    </row>
    <row r="3077" spans="2:12" x14ac:dyDescent="0.3">
      <c r="B3077" s="1"/>
      <c r="C3077" s="1"/>
      <c r="I3077" s="3"/>
      <c r="J3077" s="3"/>
      <c r="K3077" s="3"/>
      <c r="L3077" s="3"/>
    </row>
    <row r="3078" spans="2:12" x14ac:dyDescent="0.3">
      <c r="B3078" s="1"/>
      <c r="C3078" s="1"/>
      <c r="I3078" s="3"/>
      <c r="J3078" s="3"/>
      <c r="K3078" s="3"/>
      <c r="L3078" s="3"/>
    </row>
    <row r="3079" spans="2:12" x14ac:dyDescent="0.3">
      <c r="B3079" s="1"/>
      <c r="C3079" s="1"/>
      <c r="I3079" s="3"/>
      <c r="J3079" s="3"/>
      <c r="K3079" s="3"/>
      <c r="L3079" s="3"/>
    </row>
    <row r="3080" spans="2:12" x14ac:dyDescent="0.3">
      <c r="B3080" s="1"/>
      <c r="C3080" s="1"/>
      <c r="I3080" s="3"/>
      <c r="J3080" s="3"/>
      <c r="K3080" s="3"/>
      <c r="L3080" s="3"/>
    </row>
    <row r="3081" spans="2:12" x14ac:dyDescent="0.3">
      <c r="B3081" s="1"/>
      <c r="C3081" s="1"/>
      <c r="I3081" s="3"/>
      <c r="J3081" s="3"/>
      <c r="K3081" s="3"/>
      <c r="L3081" s="3"/>
    </row>
    <row r="3082" spans="2:12" x14ac:dyDescent="0.3">
      <c r="B3082" s="1"/>
      <c r="C3082" s="1"/>
      <c r="I3082" s="3"/>
      <c r="J3082" s="3"/>
      <c r="K3082" s="3"/>
      <c r="L3082" s="3"/>
    </row>
    <row r="3083" spans="2:12" x14ac:dyDescent="0.3">
      <c r="B3083" s="1"/>
      <c r="C3083" s="1"/>
      <c r="I3083" s="3"/>
      <c r="J3083" s="3"/>
      <c r="K3083" s="3"/>
      <c r="L3083" s="3"/>
    </row>
    <row r="3084" spans="2:12" x14ac:dyDescent="0.3">
      <c r="B3084" s="1"/>
      <c r="C3084" s="1"/>
      <c r="I3084" s="3"/>
      <c r="J3084" s="3"/>
      <c r="K3084" s="3"/>
      <c r="L3084" s="3"/>
    </row>
    <row r="3085" spans="2:12" x14ac:dyDescent="0.3">
      <c r="B3085" s="1"/>
      <c r="C3085" s="1"/>
      <c r="I3085" s="3"/>
      <c r="J3085" s="3"/>
      <c r="K3085" s="3"/>
      <c r="L3085" s="3"/>
    </row>
    <row r="3086" spans="2:12" x14ac:dyDescent="0.3">
      <c r="B3086" s="1"/>
      <c r="C3086" s="1"/>
      <c r="I3086" s="3"/>
      <c r="J3086" s="3"/>
      <c r="K3086" s="3"/>
      <c r="L3086" s="3"/>
    </row>
    <row r="3087" spans="2:12" x14ac:dyDescent="0.3">
      <c r="B3087" s="1"/>
      <c r="C3087" s="1"/>
      <c r="I3087" s="3"/>
      <c r="J3087" s="3"/>
      <c r="K3087" s="3"/>
      <c r="L3087" s="3"/>
    </row>
    <row r="3088" spans="2:12" x14ac:dyDescent="0.3">
      <c r="B3088" s="1"/>
      <c r="C3088" s="1"/>
      <c r="I3088" s="3"/>
      <c r="J3088" s="3"/>
      <c r="K3088" s="3"/>
      <c r="L3088" s="3"/>
    </row>
    <row r="3089" spans="2:12" x14ac:dyDescent="0.3">
      <c r="B3089" s="1"/>
      <c r="C3089" s="1"/>
      <c r="I3089" s="3"/>
      <c r="J3089" s="3"/>
      <c r="K3089" s="3"/>
      <c r="L3089" s="3"/>
    </row>
    <row r="3090" spans="2:12" x14ac:dyDescent="0.3">
      <c r="B3090" s="1"/>
      <c r="C3090" s="1"/>
      <c r="I3090" s="3"/>
      <c r="J3090" s="3"/>
      <c r="K3090" s="3"/>
      <c r="L3090" s="3"/>
    </row>
    <row r="3091" spans="2:12" x14ac:dyDescent="0.3">
      <c r="B3091" s="1"/>
      <c r="C3091" s="1"/>
      <c r="I3091" s="3"/>
      <c r="J3091" s="3"/>
      <c r="K3091" s="3"/>
      <c r="L3091" s="3"/>
    </row>
    <row r="3092" spans="2:12" x14ac:dyDescent="0.3">
      <c r="B3092" s="1"/>
      <c r="C3092" s="1"/>
      <c r="I3092" s="3"/>
      <c r="J3092" s="3"/>
      <c r="K3092" s="3"/>
      <c r="L3092" s="3"/>
    </row>
    <row r="3093" spans="2:12" x14ac:dyDescent="0.3">
      <c r="B3093" s="1"/>
      <c r="C3093" s="1"/>
      <c r="I3093" s="3"/>
      <c r="J3093" s="3"/>
      <c r="K3093" s="3"/>
      <c r="L3093" s="3"/>
    </row>
    <row r="3094" spans="2:12" x14ac:dyDescent="0.3">
      <c r="B3094" s="1"/>
      <c r="C3094" s="1"/>
      <c r="I3094" s="3"/>
      <c r="J3094" s="3"/>
      <c r="K3094" s="3"/>
      <c r="L3094" s="3"/>
    </row>
    <row r="3095" spans="2:12" x14ac:dyDescent="0.3">
      <c r="B3095" s="1"/>
      <c r="C3095" s="1"/>
      <c r="I3095" s="3"/>
      <c r="J3095" s="3"/>
      <c r="K3095" s="3"/>
      <c r="L3095" s="3"/>
    </row>
    <row r="3096" spans="2:12" x14ac:dyDescent="0.3">
      <c r="B3096" s="1"/>
      <c r="C3096" s="1"/>
      <c r="I3096" s="3"/>
      <c r="J3096" s="3"/>
      <c r="K3096" s="3"/>
      <c r="L3096" s="3"/>
    </row>
    <row r="3097" spans="2:12" x14ac:dyDescent="0.3">
      <c r="B3097" s="1"/>
      <c r="C3097" s="1"/>
      <c r="I3097" s="3"/>
      <c r="J3097" s="3"/>
      <c r="K3097" s="3"/>
      <c r="L3097" s="3"/>
    </row>
    <row r="3098" spans="2:12" x14ac:dyDescent="0.3">
      <c r="B3098" s="1"/>
      <c r="C3098" s="1"/>
      <c r="I3098" s="3"/>
      <c r="J3098" s="3"/>
      <c r="K3098" s="3"/>
      <c r="L3098" s="3"/>
    </row>
    <row r="3099" spans="2:12" x14ac:dyDescent="0.3">
      <c r="B3099" s="1"/>
      <c r="C3099" s="1"/>
      <c r="I3099" s="3"/>
      <c r="J3099" s="3"/>
      <c r="K3099" s="3"/>
      <c r="L3099" s="3"/>
    </row>
    <row r="3100" spans="2:12" x14ac:dyDescent="0.3">
      <c r="B3100" s="1"/>
      <c r="C3100" s="1"/>
      <c r="I3100" s="3"/>
      <c r="J3100" s="3"/>
      <c r="K3100" s="3"/>
      <c r="L3100" s="3"/>
    </row>
    <row r="3101" spans="2:12" x14ac:dyDescent="0.3">
      <c r="B3101" s="1"/>
      <c r="C3101" s="1"/>
      <c r="I3101" s="3"/>
      <c r="J3101" s="3"/>
      <c r="K3101" s="3"/>
      <c r="L3101" s="3"/>
    </row>
    <row r="3102" spans="2:12" x14ac:dyDescent="0.3">
      <c r="B3102" s="1"/>
      <c r="C3102" s="1"/>
      <c r="I3102" s="3"/>
      <c r="J3102" s="3"/>
      <c r="K3102" s="3"/>
      <c r="L3102" s="3"/>
    </row>
    <row r="3103" spans="2:12" x14ac:dyDescent="0.3">
      <c r="B3103" s="1"/>
      <c r="C3103" s="1"/>
      <c r="I3103" s="3"/>
      <c r="J3103" s="3"/>
      <c r="K3103" s="3"/>
      <c r="L3103" s="3"/>
    </row>
    <row r="3104" spans="2:12" x14ac:dyDescent="0.3">
      <c r="B3104" s="1"/>
      <c r="C3104" s="1"/>
      <c r="I3104" s="3"/>
      <c r="J3104" s="3"/>
      <c r="K3104" s="3"/>
      <c r="L3104" s="3"/>
    </row>
    <row r="3105" spans="2:12" x14ac:dyDescent="0.3">
      <c r="B3105" s="1"/>
      <c r="C3105" s="1"/>
      <c r="I3105" s="3"/>
      <c r="J3105" s="3"/>
      <c r="K3105" s="3"/>
      <c r="L3105" s="3"/>
    </row>
    <row r="3106" spans="2:12" x14ac:dyDescent="0.3">
      <c r="B3106" s="1"/>
      <c r="C3106" s="1"/>
      <c r="I3106" s="3"/>
      <c r="J3106" s="3"/>
      <c r="K3106" s="3"/>
      <c r="L3106" s="3"/>
    </row>
    <row r="3107" spans="2:12" x14ac:dyDescent="0.3">
      <c r="B3107" s="1"/>
      <c r="C3107" s="1"/>
      <c r="I3107" s="3"/>
      <c r="J3107" s="3"/>
      <c r="K3107" s="3"/>
      <c r="L3107" s="3"/>
    </row>
    <row r="3108" spans="2:12" x14ac:dyDescent="0.3">
      <c r="B3108" s="1"/>
      <c r="C3108" s="1"/>
      <c r="I3108" s="3"/>
      <c r="J3108" s="3"/>
      <c r="K3108" s="3"/>
      <c r="L3108" s="3"/>
    </row>
    <row r="3109" spans="2:12" x14ac:dyDescent="0.3">
      <c r="B3109" s="1"/>
      <c r="C3109" s="1"/>
      <c r="I3109" s="3"/>
      <c r="J3109" s="3"/>
      <c r="K3109" s="3"/>
      <c r="L3109" s="3"/>
    </row>
    <row r="3110" spans="2:12" x14ac:dyDescent="0.3">
      <c r="B3110" s="1"/>
      <c r="C3110" s="1"/>
      <c r="I3110" s="3"/>
      <c r="J3110" s="3"/>
      <c r="K3110" s="3"/>
      <c r="L3110" s="3"/>
    </row>
    <row r="3111" spans="2:12" x14ac:dyDescent="0.3">
      <c r="B3111" s="1"/>
      <c r="C3111" s="1"/>
      <c r="I3111" s="3"/>
      <c r="J3111" s="3"/>
      <c r="K3111" s="3"/>
      <c r="L3111" s="3"/>
    </row>
    <row r="3112" spans="2:12" x14ac:dyDescent="0.3">
      <c r="B3112" s="1"/>
      <c r="C3112" s="1"/>
      <c r="I3112" s="3"/>
      <c r="J3112" s="3"/>
      <c r="K3112" s="3"/>
      <c r="L3112" s="3"/>
    </row>
    <row r="3113" spans="2:12" x14ac:dyDescent="0.3">
      <c r="B3113" s="1"/>
      <c r="C3113" s="1"/>
      <c r="I3113" s="3"/>
      <c r="J3113" s="3"/>
      <c r="K3113" s="3"/>
      <c r="L3113" s="3"/>
    </row>
    <row r="3114" spans="2:12" x14ac:dyDescent="0.3">
      <c r="B3114" s="1"/>
      <c r="C3114" s="1"/>
      <c r="I3114" s="3"/>
      <c r="J3114" s="3"/>
      <c r="K3114" s="3"/>
      <c r="L3114" s="3"/>
    </row>
    <row r="3115" spans="2:12" x14ac:dyDescent="0.3">
      <c r="B3115" s="1"/>
      <c r="C3115" s="1"/>
      <c r="I3115" s="3"/>
      <c r="J3115" s="3"/>
      <c r="K3115" s="3"/>
      <c r="L3115" s="3"/>
    </row>
    <row r="3116" spans="2:12" x14ac:dyDescent="0.3">
      <c r="B3116" s="1"/>
      <c r="C3116" s="1"/>
      <c r="I3116" s="3"/>
      <c r="J3116" s="3"/>
      <c r="K3116" s="3"/>
      <c r="L3116" s="3"/>
    </row>
    <row r="3117" spans="2:12" x14ac:dyDescent="0.3">
      <c r="B3117" s="1"/>
      <c r="C3117" s="1"/>
      <c r="I3117" s="3"/>
      <c r="J3117" s="3"/>
      <c r="K3117" s="3"/>
      <c r="L3117" s="3"/>
    </row>
    <row r="3118" spans="2:12" x14ac:dyDescent="0.3">
      <c r="B3118" s="1"/>
      <c r="C3118" s="1"/>
      <c r="I3118" s="3"/>
      <c r="J3118" s="3"/>
      <c r="K3118" s="3"/>
      <c r="L3118" s="3"/>
    </row>
    <row r="3119" spans="2:12" x14ac:dyDescent="0.3">
      <c r="B3119" s="1"/>
      <c r="C3119" s="1"/>
      <c r="I3119" s="3"/>
      <c r="J3119" s="3"/>
      <c r="K3119" s="3"/>
      <c r="L3119" s="3"/>
    </row>
    <row r="3120" spans="2:12" x14ac:dyDescent="0.3">
      <c r="B3120" s="1"/>
      <c r="C3120" s="1"/>
      <c r="I3120" s="3"/>
      <c r="J3120" s="3"/>
      <c r="K3120" s="3"/>
      <c r="L3120" s="3"/>
    </row>
    <row r="3121" spans="2:12" x14ac:dyDescent="0.3">
      <c r="B3121" s="1"/>
      <c r="C3121" s="1"/>
      <c r="I3121" s="3"/>
      <c r="J3121" s="3"/>
      <c r="K3121" s="3"/>
      <c r="L3121" s="3"/>
    </row>
    <row r="3122" spans="2:12" x14ac:dyDescent="0.3">
      <c r="B3122" s="1"/>
      <c r="C3122" s="1"/>
      <c r="I3122" s="3"/>
      <c r="J3122" s="3"/>
      <c r="K3122" s="3"/>
      <c r="L3122" s="3"/>
    </row>
    <row r="3123" spans="2:12" x14ac:dyDescent="0.3">
      <c r="B3123" s="1"/>
      <c r="C3123" s="1"/>
      <c r="I3123" s="3"/>
      <c r="J3123" s="3"/>
      <c r="K3123" s="3"/>
      <c r="L3123" s="3"/>
    </row>
    <row r="3124" spans="2:12" x14ac:dyDescent="0.3">
      <c r="B3124" s="1"/>
      <c r="C3124" s="1"/>
      <c r="I3124" s="3"/>
      <c r="J3124" s="3"/>
      <c r="K3124" s="3"/>
      <c r="L3124" s="3"/>
    </row>
    <row r="3125" spans="2:12" x14ac:dyDescent="0.3">
      <c r="B3125" s="1"/>
      <c r="C3125" s="1"/>
      <c r="I3125" s="3"/>
      <c r="J3125" s="3"/>
      <c r="K3125" s="3"/>
      <c r="L3125" s="3"/>
    </row>
    <row r="3126" spans="2:12" x14ac:dyDescent="0.3">
      <c r="B3126" s="1"/>
      <c r="C3126" s="1"/>
      <c r="I3126" s="3"/>
      <c r="J3126" s="3"/>
      <c r="K3126" s="3"/>
      <c r="L3126" s="3"/>
    </row>
    <row r="3127" spans="2:12" x14ac:dyDescent="0.3">
      <c r="B3127" s="1"/>
      <c r="C3127" s="1"/>
      <c r="I3127" s="3"/>
      <c r="J3127" s="3"/>
      <c r="K3127" s="3"/>
      <c r="L3127" s="3"/>
    </row>
    <row r="3128" spans="2:12" x14ac:dyDescent="0.3">
      <c r="B3128" s="1"/>
      <c r="C3128" s="1"/>
      <c r="I3128" s="3"/>
      <c r="J3128" s="3"/>
      <c r="K3128" s="3"/>
      <c r="L3128" s="3"/>
    </row>
    <row r="3129" spans="2:12" x14ac:dyDescent="0.3">
      <c r="B3129" s="1"/>
      <c r="C3129" s="1"/>
      <c r="I3129" s="3"/>
      <c r="J3129" s="3"/>
      <c r="K3129" s="3"/>
      <c r="L3129" s="3"/>
    </row>
    <row r="3130" spans="2:12" x14ac:dyDescent="0.3">
      <c r="B3130" s="1"/>
      <c r="C3130" s="1"/>
      <c r="I3130" s="3"/>
      <c r="J3130" s="3"/>
      <c r="K3130" s="3"/>
      <c r="L3130" s="3"/>
    </row>
    <row r="3131" spans="2:12" x14ac:dyDescent="0.3">
      <c r="B3131" s="1"/>
      <c r="C3131" s="1"/>
      <c r="I3131" s="3"/>
      <c r="J3131" s="3"/>
      <c r="K3131" s="3"/>
      <c r="L3131" s="3"/>
    </row>
    <row r="3132" spans="2:12" x14ac:dyDescent="0.3">
      <c r="B3132" s="1"/>
      <c r="C3132" s="1"/>
      <c r="I3132" s="3"/>
      <c r="J3132" s="3"/>
      <c r="K3132" s="3"/>
      <c r="L3132" s="3"/>
    </row>
    <row r="3133" spans="2:12" x14ac:dyDescent="0.3">
      <c r="B3133" s="1"/>
      <c r="C3133" s="1"/>
      <c r="I3133" s="3"/>
      <c r="J3133" s="3"/>
      <c r="K3133" s="3"/>
      <c r="L3133" s="3"/>
    </row>
    <row r="3134" spans="2:12" x14ac:dyDescent="0.3">
      <c r="B3134" s="1"/>
      <c r="C3134" s="1"/>
      <c r="I3134" s="3"/>
      <c r="J3134" s="3"/>
      <c r="K3134" s="3"/>
      <c r="L3134" s="3"/>
    </row>
    <row r="3135" spans="2:12" x14ac:dyDescent="0.3">
      <c r="B3135" s="1"/>
      <c r="C3135" s="1"/>
      <c r="I3135" s="3"/>
      <c r="J3135" s="3"/>
      <c r="K3135" s="3"/>
      <c r="L3135" s="3"/>
    </row>
    <row r="3136" spans="2:12" x14ac:dyDescent="0.3">
      <c r="B3136" s="1"/>
      <c r="C3136" s="1"/>
      <c r="I3136" s="3"/>
      <c r="J3136" s="3"/>
      <c r="K3136" s="3"/>
      <c r="L3136" s="3"/>
    </row>
    <row r="3137" spans="2:12" x14ac:dyDescent="0.3">
      <c r="B3137" s="1"/>
      <c r="C3137" s="1"/>
      <c r="I3137" s="3"/>
      <c r="J3137" s="3"/>
      <c r="K3137" s="3"/>
      <c r="L3137" s="3"/>
    </row>
    <row r="3138" spans="2:12" x14ac:dyDescent="0.3">
      <c r="B3138" s="1"/>
      <c r="C3138" s="1"/>
      <c r="I3138" s="3"/>
      <c r="J3138" s="3"/>
      <c r="K3138" s="3"/>
      <c r="L3138" s="3"/>
    </row>
    <row r="3139" spans="2:12" x14ac:dyDescent="0.3">
      <c r="B3139" s="1"/>
      <c r="C3139" s="1"/>
      <c r="I3139" s="3"/>
      <c r="J3139" s="3"/>
      <c r="K3139" s="3"/>
      <c r="L3139" s="3"/>
    </row>
    <row r="3140" spans="2:12" x14ac:dyDescent="0.3">
      <c r="B3140" s="1"/>
      <c r="C3140" s="1"/>
      <c r="I3140" s="3"/>
      <c r="J3140" s="3"/>
      <c r="K3140" s="3"/>
      <c r="L3140" s="3"/>
    </row>
    <row r="3141" spans="2:12" x14ac:dyDescent="0.3">
      <c r="B3141" s="1"/>
      <c r="C3141" s="1"/>
      <c r="I3141" s="3"/>
      <c r="J3141" s="3"/>
      <c r="K3141" s="3"/>
      <c r="L3141" s="3"/>
    </row>
    <row r="3142" spans="2:12" x14ac:dyDescent="0.3">
      <c r="B3142" s="1"/>
      <c r="C3142" s="1"/>
      <c r="I3142" s="3"/>
      <c r="J3142" s="3"/>
      <c r="K3142" s="3"/>
      <c r="L3142" s="3"/>
    </row>
    <row r="3143" spans="2:12" x14ac:dyDescent="0.3">
      <c r="B3143" s="1"/>
      <c r="C3143" s="1"/>
      <c r="I3143" s="3"/>
      <c r="J3143" s="3"/>
      <c r="K3143" s="3"/>
      <c r="L3143" s="3"/>
    </row>
    <row r="3144" spans="2:12" x14ac:dyDescent="0.3">
      <c r="B3144" s="1"/>
      <c r="C3144" s="1"/>
      <c r="I3144" s="3"/>
      <c r="J3144" s="3"/>
      <c r="K3144" s="3"/>
      <c r="L3144" s="3"/>
    </row>
    <row r="3145" spans="2:12" x14ac:dyDescent="0.3">
      <c r="B3145" s="1"/>
      <c r="C3145" s="1"/>
      <c r="I3145" s="3"/>
      <c r="J3145" s="3"/>
      <c r="K3145" s="3"/>
      <c r="L3145" s="3"/>
    </row>
    <row r="3146" spans="2:12" x14ac:dyDescent="0.3">
      <c r="B3146" s="1"/>
      <c r="C3146" s="1"/>
      <c r="I3146" s="3"/>
      <c r="J3146" s="3"/>
      <c r="K3146" s="3"/>
      <c r="L3146" s="3"/>
    </row>
    <row r="3147" spans="2:12" x14ac:dyDescent="0.3">
      <c r="B3147" s="1"/>
      <c r="C3147" s="1"/>
      <c r="I3147" s="3"/>
      <c r="J3147" s="3"/>
      <c r="K3147" s="3"/>
      <c r="L3147" s="3"/>
    </row>
    <row r="3148" spans="2:12" x14ac:dyDescent="0.3">
      <c r="B3148" s="1"/>
      <c r="C3148" s="1"/>
      <c r="I3148" s="3"/>
      <c r="J3148" s="3"/>
      <c r="K3148" s="3"/>
      <c r="L3148" s="3"/>
    </row>
    <row r="3149" spans="2:12" x14ac:dyDescent="0.3">
      <c r="B3149" s="1"/>
      <c r="C3149" s="1"/>
      <c r="I3149" s="3"/>
      <c r="J3149" s="3"/>
      <c r="K3149" s="3"/>
      <c r="L3149" s="3"/>
    </row>
    <row r="3150" spans="2:12" x14ac:dyDescent="0.3">
      <c r="B3150" s="1"/>
      <c r="C3150" s="1"/>
      <c r="I3150" s="3"/>
      <c r="J3150" s="3"/>
      <c r="K3150" s="3"/>
      <c r="L3150" s="3"/>
    </row>
    <row r="3151" spans="2:12" x14ac:dyDescent="0.3">
      <c r="B3151" s="1"/>
      <c r="C3151" s="1"/>
      <c r="I3151" s="3"/>
      <c r="J3151" s="3"/>
      <c r="K3151" s="3"/>
      <c r="L3151" s="3"/>
    </row>
    <row r="3152" spans="2:12" x14ac:dyDescent="0.3">
      <c r="B3152" s="1"/>
      <c r="C3152" s="1"/>
      <c r="I3152" s="3"/>
      <c r="J3152" s="3"/>
      <c r="K3152" s="3"/>
      <c r="L3152" s="3"/>
    </row>
    <row r="3153" spans="2:12" x14ac:dyDescent="0.3">
      <c r="B3153" s="1"/>
      <c r="C3153" s="1"/>
      <c r="I3153" s="3"/>
      <c r="J3153" s="3"/>
      <c r="K3153" s="3"/>
      <c r="L3153" s="3"/>
    </row>
    <row r="3154" spans="2:12" x14ac:dyDescent="0.3">
      <c r="B3154" s="1"/>
      <c r="C3154" s="1"/>
      <c r="I3154" s="3"/>
      <c r="J3154" s="3"/>
      <c r="K3154" s="3"/>
      <c r="L3154" s="3"/>
    </row>
    <row r="3155" spans="2:12" x14ac:dyDescent="0.3">
      <c r="B3155" s="1"/>
      <c r="C3155" s="1"/>
      <c r="I3155" s="3"/>
      <c r="J3155" s="3"/>
      <c r="K3155" s="3"/>
      <c r="L3155" s="3"/>
    </row>
    <row r="3156" spans="2:12" x14ac:dyDescent="0.3">
      <c r="B3156" s="1"/>
      <c r="C3156" s="1"/>
      <c r="I3156" s="3"/>
      <c r="J3156" s="3"/>
      <c r="K3156" s="3"/>
      <c r="L3156" s="3"/>
    </row>
    <row r="3157" spans="2:12" x14ac:dyDescent="0.3">
      <c r="B3157" s="1"/>
      <c r="C3157" s="1"/>
      <c r="I3157" s="3"/>
      <c r="J3157" s="3"/>
      <c r="K3157" s="3"/>
      <c r="L3157" s="3"/>
    </row>
    <row r="3158" spans="2:12" x14ac:dyDescent="0.3">
      <c r="B3158" s="1"/>
      <c r="C3158" s="1"/>
      <c r="I3158" s="3"/>
      <c r="J3158" s="3"/>
      <c r="K3158" s="3"/>
      <c r="L3158" s="3"/>
    </row>
    <row r="3159" spans="2:12" x14ac:dyDescent="0.3">
      <c r="B3159" s="1"/>
      <c r="C3159" s="1"/>
      <c r="I3159" s="3"/>
      <c r="J3159" s="3"/>
      <c r="K3159" s="3"/>
      <c r="L3159" s="3"/>
    </row>
    <row r="3160" spans="2:12" x14ac:dyDescent="0.3">
      <c r="B3160" s="1"/>
      <c r="C3160" s="1"/>
      <c r="I3160" s="3"/>
      <c r="J3160" s="3"/>
      <c r="K3160" s="3"/>
      <c r="L3160" s="3"/>
    </row>
    <row r="3161" spans="2:12" x14ac:dyDescent="0.3">
      <c r="B3161" s="1"/>
      <c r="C3161" s="1"/>
      <c r="I3161" s="3"/>
      <c r="J3161" s="3"/>
      <c r="K3161" s="3"/>
      <c r="L3161" s="3"/>
    </row>
    <row r="3162" spans="2:12" x14ac:dyDescent="0.3">
      <c r="B3162" s="1"/>
      <c r="C3162" s="1"/>
      <c r="I3162" s="3"/>
      <c r="J3162" s="3"/>
      <c r="K3162" s="3"/>
      <c r="L3162" s="3"/>
    </row>
    <row r="3163" spans="2:12" x14ac:dyDescent="0.3">
      <c r="B3163" s="1"/>
      <c r="C3163" s="1"/>
      <c r="I3163" s="3"/>
      <c r="J3163" s="3"/>
      <c r="K3163" s="3"/>
      <c r="L3163" s="3"/>
    </row>
    <row r="3164" spans="2:12" x14ac:dyDescent="0.3">
      <c r="B3164" s="1"/>
      <c r="C3164" s="1"/>
      <c r="I3164" s="3"/>
      <c r="J3164" s="3"/>
      <c r="K3164" s="3"/>
      <c r="L3164" s="3"/>
    </row>
    <row r="3165" spans="2:12" x14ac:dyDescent="0.3">
      <c r="B3165" s="1"/>
      <c r="C3165" s="1"/>
      <c r="I3165" s="3"/>
      <c r="J3165" s="3"/>
      <c r="K3165" s="3"/>
      <c r="L3165" s="3"/>
    </row>
    <row r="3166" spans="2:12" x14ac:dyDescent="0.3">
      <c r="B3166" s="1"/>
      <c r="C3166" s="1"/>
      <c r="I3166" s="3"/>
      <c r="J3166" s="3"/>
      <c r="K3166" s="3"/>
      <c r="L3166" s="3"/>
    </row>
    <row r="3167" spans="2:12" x14ac:dyDescent="0.3">
      <c r="B3167" s="1"/>
      <c r="C3167" s="1"/>
      <c r="I3167" s="3"/>
      <c r="J3167" s="3"/>
      <c r="K3167" s="3"/>
      <c r="L3167" s="3"/>
    </row>
    <row r="3168" spans="2:12" x14ac:dyDescent="0.3">
      <c r="B3168" s="1"/>
      <c r="C3168" s="1"/>
      <c r="I3168" s="3"/>
      <c r="J3168" s="3"/>
      <c r="K3168" s="3"/>
      <c r="L3168" s="3"/>
    </row>
    <row r="3169" spans="2:12" x14ac:dyDescent="0.3">
      <c r="B3169" s="1"/>
      <c r="C3169" s="1"/>
      <c r="I3169" s="3"/>
      <c r="J3169" s="3"/>
      <c r="K3169" s="3"/>
      <c r="L3169" s="3"/>
    </row>
    <row r="3170" spans="2:12" x14ac:dyDescent="0.3">
      <c r="B3170" s="1"/>
      <c r="C3170" s="1"/>
      <c r="I3170" s="3"/>
      <c r="J3170" s="3"/>
      <c r="K3170" s="3"/>
      <c r="L3170" s="3"/>
    </row>
    <row r="3171" spans="2:12" x14ac:dyDescent="0.3">
      <c r="B3171" s="1"/>
      <c r="C3171" s="1"/>
      <c r="I3171" s="3"/>
      <c r="J3171" s="3"/>
      <c r="K3171" s="3"/>
      <c r="L3171" s="3"/>
    </row>
    <row r="3172" spans="2:12" x14ac:dyDescent="0.3">
      <c r="B3172" s="1"/>
      <c r="C3172" s="1"/>
      <c r="I3172" s="3"/>
      <c r="J3172" s="3"/>
      <c r="K3172" s="3"/>
      <c r="L3172" s="3"/>
    </row>
    <row r="3173" spans="2:12" x14ac:dyDescent="0.3">
      <c r="B3173" s="1"/>
      <c r="C3173" s="1"/>
      <c r="I3173" s="3"/>
      <c r="J3173" s="3"/>
      <c r="K3173" s="3"/>
      <c r="L3173" s="3"/>
    </row>
    <row r="3174" spans="2:12" x14ac:dyDescent="0.3">
      <c r="B3174" s="1"/>
      <c r="C3174" s="1"/>
      <c r="I3174" s="3"/>
      <c r="J3174" s="3"/>
      <c r="K3174" s="3"/>
      <c r="L3174" s="3"/>
    </row>
    <row r="3175" spans="2:12" x14ac:dyDescent="0.3">
      <c r="B3175" s="1"/>
      <c r="C3175" s="1"/>
      <c r="I3175" s="3"/>
      <c r="J3175" s="3"/>
      <c r="K3175" s="3"/>
      <c r="L3175" s="3"/>
    </row>
    <row r="3176" spans="2:12" x14ac:dyDescent="0.3">
      <c r="B3176" s="1"/>
      <c r="C3176" s="1"/>
      <c r="I3176" s="3"/>
      <c r="J3176" s="3"/>
      <c r="K3176" s="3"/>
      <c r="L3176" s="3"/>
    </row>
    <row r="3177" spans="2:12" x14ac:dyDescent="0.3">
      <c r="B3177" s="1"/>
      <c r="C3177" s="1"/>
      <c r="I3177" s="3"/>
      <c r="J3177" s="3"/>
      <c r="K3177" s="3"/>
      <c r="L3177" s="3"/>
    </row>
    <row r="3178" spans="2:12" x14ac:dyDescent="0.3">
      <c r="B3178" s="1"/>
      <c r="C3178" s="1"/>
      <c r="I3178" s="3"/>
      <c r="J3178" s="3"/>
      <c r="K3178" s="3"/>
      <c r="L3178" s="3"/>
    </row>
    <row r="3179" spans="2:12" x14ac:dyDescent="0.3">
      <c r="B3179" s="1"/>
      <c r="C3179" s="1"/>
      <c r="I3179" s="3"/>
      <c r="J3179" s="3"/>
      <c r="K3179" s="3"/>
      <c r="L3179" s="3"/>
    </row>
    <row r="3180" spans="2:12" x14ac:dyDescent="0.3">
      <c r="B3180" s="1"/>
      <c r="C3180" s="1"/>
      <c r="I3180" s="3"/>
      <c r="J3180" s="3"/>
      <c r="K3180" s="3"/>
      <c r="L3180" s="3"/>
    </row>
    <row r="3181" spans="2:12" x14ac:dyDescent="0.3">
      <c r="B3181" s="1"/>
      <c r="C3181" s="1"/>
      <c r="I3181" s="3"/>
      <c r="J3181" s="3"/>
      <c r="K3181" s="3"/>
      <c r="L3181" s="3"/>
    </row>
    <row r="3182" spans="2:12" x14ac:dyDescent="0.3">
      <c r="B3182" s="1"/>
      <c r="C3182" s="1"/>
      <c r="I3182" s="3"/>
      <c r="J3182" s="3"/>
      <c r="K3182" s="3"/>
      <c r="L3182" s="3"/>
    </row>
    <row r="3183" spans="2:12" x14ac:dyDescent="0.3">
      <c r="B3183" s="1"/>
      <c r="C3183" s="1"/>
      <c r="I3183" s="3"/>
      <c r="J3183" s="3"/>
      <c r="K3183" s="3"/>
      <c r="L3183" s="3"/>
    </row>
    <row r="3184" spans="2:12" x14ac:dyDescent="0.3">
      <c r="B3184" s="1"/>
      <c r="C3184" s="1"/>
      <c r="I3184" s="3"/>
      <c r="J3184" s="3"/>
      <c r="K3184" s="3"/>
      <c r="L3184" s="3"/>
    </row>
    <row r="3185" spans="2:12" x14ac:dyDescent="0.3">
      <c r="B3185" s="1"/>
      <c r="C3185" s="1"/>
      <c r="I3185" s="3"/>
      <c r="J3185" s="3"/>
      <c r="K3185" s="3"/>
      <c r="L3185" s="3"/>
    </row>
    <row r="3186" spans="2:12" x14ac:dyDescent="0.3">
      <c r="B3186" s="1"/>
      <c r="C3186" s="1"/>
      <c r="I3186" s="3"/>
      <c r="J3186" s="3"/>
      <c r="K3186" s="3"/>
      <c r="L3186" s="3"/>
    </row>
    <row r="3187" spans="2:12" x14ac:dyDescent="0.3">
      <c r="B3187" s="1"/>
      <c r="C3187" s="1"/>
      <c r="I3187" s="3"/>
      <c r="J3187" s="3"/>
      <c r="K3187" s="3"/>
      <c r="L3187" s="3"/>
    </row>
    <row r="3188" spans="2:12" x14ac:dyDescent="0.3">
      <c r="B3188" s="1"/>
      <c r="C3188" s="1"/>
      <c r="I3188" s="3"/>
      <c r="J3188" s="3"/>
      <c r="K3188" s="3"/>
      <c r="L3188" s="3"/>
    </row>
    <row r="3189" spans="2:12" x14ac:dyDescent="0.3">
      <c r="B3189" s="1"/>
      <c r="C3189" s="1"/>
      <c r="I3189" s="3"/>
      <c r="J3189" s="3"/>
      <c r="K3189" s="3"/>
      <c r="L3189" s="3"/>
    </row>
    <row r="3190" spans="2:12" x14ac:dyDescent="0.3">
      <c r="B3190" s="1"/>
      <c r="C3190" s="1"/>
      <c r="I3190" s="3"/>
      <c r="J3190" s="3"/>
      <c r="K3190" s="3"/>
      <c r="L3190" s="3"/>
    </row>
    <row r="3191" spans="2:12" x14ac:dyDescent="0.3">
      <c r="B3191" s="1"/>
      <c r="C3191" s="1"/>
      <c r="I3191" s="3"/>
      <c r="J3191" s="3"/>
      <c r="K3191" s="3"/>
      <c r="L3191" s="3"/>
    </row>
    <row r="3192" spans="2:12" x14ac:dyDescent="0.3">
      <c r="B3192" s="1"/>
      <c r="C3192" s="1"/>
      <c r="I3192" s="3"/>
      <c r="J3192" s="3"/>
      <c r="K3192" s="3"/>
      <c r="L3192" s="3"/>
    </row>
    <row r="3193" spans="2:12" x14ac:dyDescent="0.3">
      <c r="B3193" s="1"/>
      <c r="C3193" s="1"/>
      <c r="I3193" s="3"/>
      <c r="J3193" s="3"/>
      <c r="K3193" s="3"/>
      <c r="L3193" s="3"/>
    </row>
    <row r="3194" spans="2:12" x14ac:dyDescent="0.3">
      <c r="B3194" s="1"/>
      <c r="C3194" s="1"/>
      <c r="I3194" s="3"/>
      <c r="J3194" s="3"/>
      <c r="K3194" s="3"/>
      <c r="L3194" s="3"/>
    </row>
    <row r="3195" spans="2:12" x14ac:dyDescent="0.3">
      <c r="B3195" s="1"/>
      <c r="C3195" s="1"/>
      <c r="I3195" s="3"/>
      <c r="J3195" s="3"/>
      <c r="K3195" s="3"/>
      <c r="L3195" s="3"/>
    </row>
    <row r="3196" spans="2:12" x14ac:dyDescent="0.3">
      <c r="B3196" s="1"/>
      <c r="C3196" s="1"/>
      <c r="I3196" s="3"/>
      <c r="J3196" s="3"/>
      <c r="K3196" s="3"/>
      <c r="L3196" s="3"/>
    </row>
    <row r="3197" spans="2:12" x14ac:dyDescent="0.3">
      <c r="B3197" s="1"/>
      <c r="C3197" s="1"/>
      <c r="I3197" s="3"/>
      <c r="J3197" s="3"/>
      <c r="K3197" s="3"/>
      <c r="L3197" s="3"/>
    </row>
    <row r="3198" spans="2:12" x14ac:dyDescent="0.3">
      <c r="B3198" s="1"/>
      <c r="C3198" s="1"/>
      <c r="I3198" s="3"/>
      <c r="J3198" s="3"/>
      <c r="K3198" s="3"/>
      <c r="L3198" s="3"/>
    </row>
    <row r="3199" spans="2:12" x14ac:dyDescent="0.3">
      <c r="B3199" s="1"/>
      <c r="C3199" s="1"/>
      <c r="I3199" s="3"/>
      <c r="J3199" s="3"/>
      <c r="K3199" s="3"/>
      <c r="L3199" s="3"/>
    </row>
    <row r="3200" spans="2:12" x14ac:dyDescent="0.3">
      <c r="B3200" s="1"/>
      <c r="C3200" s="1"/>
      <c r="I3200" s="3"/>
      <c r="J3200" s="3"/>
      <c r="K3200" s="3"/>
      <c r="L3200" s="3"/>
    </row>
    <row r="3201" spans="2:12" x14ac:dyDescent="0.3">
      <c r="B3201" s="1"/>
      <c r="C3201" s="1"/>
      <c r="I3201" s="3"/>
      <c r="J3201" s="3"/>
      <c r="K3201" s="3"/>
      <c r="L3201" s="3"/>
    </row>
    <row r="3202" spans="2:12" x14ac:dyDescent="0.3">
      <c r="B3202" s="1"/>
      <c r="C3202" s="1"/>
      <c r="I3202" s="3"/>
      <c r="J3202" s="3"/>
      <c r="K3202" s="3"/>
      <c r="L3202" s="3"/>
    </row>
    <row r="3203" spans="2:12" x14ac:dyDescent="0.3">
      <c r="B3203" s="1"/>
      <c r="C3203" s="1"/>
      <c r="I3203" s="3"/>
      <c r="J3203" s="3"/>
      <c r="K3203" s="3"/>
      <c r="L3203" s="3"/>
    </row>
    <row r="3204" spans="2:12" x14ac:dyDescent="0.3">
      <c r="B3204" s="1"/>
      <c r="C3204" s="1"/>
      <c r="I3204" s="3"/>
      <c r="J3204" s="3"/>
      <c r="K3204" s="3"/>
      <c r="L3204" s="3"/>
    </row>
    <row r="3205" spans="2:12" x14ac:dyDescent="0.3">
      <c r="B3205" s="1"/>
      <c r="C3205" s="1"/>
      <c r="I3205" s="3"/>
      <c r="J3205" s="3"/>
      <c r="K3205" s="3"/>
      <c r="L3205" s="3"/>
    </row>
    <row r="3206" spans="2:12" x14ac:dyDescent="0.3">
      <c r="B3206" s="1"/>
      <c r="C3206" s="1"/>
      <c r="I3206" s="3"/>
      <c r="J3206" s="3"/>
      <c r="K3206" s="3"/>
      <c r="L3206" s="3"/>
    </row>
    <row r="3207" spans="2:12" x14ac:dyDescent="0.3">
      <c r="B3207" s="1"/>
      <c r="C3207" s="1"/>
      <c r="I3207" s="3"/>
      <c r="J3207" s="3"/>
      <c r="K3207" s="3"/>
      <c r="L3207" s="3"/>
    </row>
    <row r="3208" spans="2:12" x14ac:dyDescent="0.3">
      <c r="B3208" s="1"/>
      <c r="C3208" s="1"/>
      <c r="I3208" s="3"/>
      <c r="J3208" s="3"/>
      <c r="K3208" s="3"/>
      <c r="L3208" s="3"/>
    </row>
    <row r="3209" spans="2:12" x14ac:dyDescent="0.3">
      <c r="B3209" s="1"/>
      <c r="C3209" s="1"/>
      <c r="I3209" s="3"/>
      <c r="J3209" s="3"/>
      <c r="K3209" s="3"/>
      <c r="L3209" s="3"/>
    </row>
    <row r="3210" spans="2:12" x14ac:dyDescent="0.3">
      <c r="B3210" s="1"/>
      <c r="C3210" s="1"/>
      <c r="I3210" s="3"/>
      <c r="J3210" s="3"/>
      <c r="K3210" s="3"/>
      <c r="L3210" s="3"/>
    </row>
    <row r="3211" spans="2:12" x14ac:dyDescent="0.3">
      <c r="B3211" s="1"/>
      <c r="C3211" s="1"/>
      <c r="I3211" s="3"/>
      <c r="J3211" s="3"/>
      <c r="K3211" s="3"/>
      <c r="L3211" s="3"/>
    </row>
    <row r="3212" spans="2:12" x14ac:dyDescent="0.3">
      <c r="B3212" s="1"/>
      <c r="C3212" s="1"/>
      <c r="I3212" s="3"/>
      <c r="J3212" s="3"/>
      <c r="K3212" s="3"/>
      <c r="L3212" s="3"/>
    </row>
    <row r="3213" spans="2:12" x14ac:dyDescent="0.3">
      <c r="B3213" s="1"/>
      <c r="C3213" s="1"/>
      <c r="I3213" s="3"/>
      <c r="J3213" s="3"/>
      <c r="K3213" s="3"/>
      <c r="L3213" s="3"/>
    </row>
    <row r="3214" spans="2:12" x14ac:dyDescent="0.3">
      <c r="B3214" s="1"/>
      <c r="C3214" s="1"/>
      <c r="I3214" s="3"/>
      <c r="J3214" s="3"/>
      <c r="K3214" s="3"/>
      <c r="L3214" s="3"/>
    </row>
    <row r="3215" spans="2:12" x14ac:dyDescent="0.3">
      <c r="B3215" s="1"/>
      <c r="C3215" s="1"/>
      <c r="I3215" s="3"/>
      <c r="J3215" s="3"/>
      <c r="K3215" s="3"/>
      <c r="L3215" s="3"/>
    </row>
    <row r="3216" spans="2:12" x14ac:dyDescent="0.3">
      <c r="B3216" s="1"/>
      <c r="C3216" s="1"/>
      <c r="I3216" s="3"/>
      <c r="J3216" s="3"/>
      <c r="K3216" s="3"/>
      <c r="L3216" s="3"/>
    </row>
    <row r="3217" spans="2:12" x14ac:dyDescent="0.3">
      <c r="B3217" s="1"/>
      <c r="C3217" s="1"/>
      <c r="I3217" s="3"/>
      <c r="J3217" s="3"/>
      <c r="K3217" s="3"/>
      <c r="L3217" s="3"/>
    </row>
    <row r="3218" spans="2:12" x14ac:dyDescent="0.3">
      <c r="B3218" s="1"/>
      <c r="C3218" s="1"/>
      <c r="I3218" s="3"/>
      <c r="J3218" s="3"/>
      <c r="K3218" s="3"/>
      <c r="L3218" s="3"/>
    </row>
    <row r="3219" spans="2:12" x14ac:dyDescent="0.3">
      <c r="B3219" s="1"/>
      <c r="C3219" s="1"/>
      <c r="I3219" s="3"/>
      <c r="J3219" s="3"/>
      <c r="K3219" s="3"/>
      <c r="L3219" s="3"/>
    </row>
    <row r="3220" spans="2:12" x14ac:dyDescent="0.3">
      <c r="B3220" s="1"/>
      <c r="C3220" s="1"/>
      <c r="I3220" s="3"/>
      <c r="J3220" s="3"/>
      <c r="K3220" s="3"/>
      <c r="L3220" s="3"/>
    </row>
    <row r="3221" spans="2:12" x14ac:dyDescent="0.3">
      <c r="B3221" s="1"/>
      <c r="C3221" s="1"/>
      <c r="I3221" s="3"/>
      <c r="J3221" s="3"/>
      <c r="K3221" s="3"/>
      <c r="L3221" s="3"/>
    </row>
    <row r="3222" spans="2:12" x14ac:dyDescent="0.3">
      <c r="B3222" s="1"/>
      <c r="C3222" s="1"/>
      <c r="I3222" s="3"/>
      <c r="J3222" s="3"/>
      <c r="K3222" s="3"/>
      <c r="L3222" s="3"/>
    </row>
    <row r="3223" spans="2:12" x14ac:dyDescent="0.3">
      <c r="B3223" s="1"/>
      <c r="C3223" s="1"/>
      <c r="I3223" s="3"/>
      <c r="J3223" s="3"/>
      <c r="K3223" s="3"/>
      <c r="L3223" s="3"/>
    </row>
    <row r="3224" spans="2:12" x14ac:dyDescent="0.3">
      <c r="B3224" s="1"/>
      <c r="C3224" s="1"/>
      <c r="I3224" s="3"/>
      <c r="J3224" s="3"/>
      <c r="K3224" s="3"/>
      <c r="L3224" s="3"/>
    </row>
    <row r="3225" spans="2:12" x14ac:dyDescent="0.3">
      <c r="B3225" s="1"/>
      <c r="C3225" s="1"/>
      <c r="I3225" s="3"/>
      <c r="J3225" s="3"/>
      <c r="K3225" s="3"/>
      <c r="L3225" s="3"/>
    </row>
    <row r="3226" spans="2:12" x14ac:dyDescent="0.3">
      <c r="B3226" s="1"/>
      <c r="C3226" s="1"/>
      <c r="I3226" s="3"/>
      <c r="J3226" s="3"/>
      <c r="K3226" s="3"/>
      <c r="L3226" s="3"/>
    </row>
    <row r="3227" spans="2:12" x14ac:dyDescent="0.3">
      <c r="B3227" s="1"/>
      <c r="C3227" s="1"/>
      <c r="I3227" s="3"/>
      <c r="J3227" s="3"/>
      <c r="K3227" s="3"/>
      <c r="L3227" s="3"/>
    </row>
    <row r="3228" spans="2:12" x14ac:dyDescent="0.3">
      <c r="B3228" s="1"/>
      <c r="C3228" s="1"/>
      <c r="I3228" s="3"/>
      <c r="J3228" s="3"/>
      <c r="K3228" s="3"/>
      <c r="L3228" s="3"/>
    </row>
    <row r="3229" spans="2:12" x14ac:dyDescent="0.3">
      <c r="B3229" s="1"/>
      <c r="C3229" s="1"/>
      <c r="I3229" s="3"/>
      <c r="J3229" s="3"/>
      <c r="K3229" s="3"/>
      <c r="L3229" s="3"/>
    </row>
    <row r="3230" spans="2:12" x14ac:dyDescent="0.3">
      <c r="B3230" s="1"/>
      <c r="C3230" s="1"/>
      <c r="I3230" s="3"/>
      <c r="J3230" s="3"/>
      <c r="K3230" s="3"/>
      <c r="L3230" s="3"/>
    </row>
    <row r="3231" spans="2:12" x14ac:dyDescent="0.3">
      <c r="B3231" s="1"/>
      <c r="C3231" s="1"/>
      <c r="I3231" s="3"/>
      <c r="J3231" s="3"/>
      <c r="K3231" s="3"/>
      <c r="L3231" s="3"/>
    </row>
    <row r="3232" spans="2:12" x14ac:dyDescent="0.3">
      <c r="B3232" s="1"/>
      <c r="C3232" s="1"/>
      <c r="I3232" s="3"/>
      <c r="J3232" s="3"/>
      <c r="K3232" s="3"/>
      <c r="L3232" s="3"/>
    </row>
    <row r="3233" spans="2:12" x14ac:dyDescent="0.3">
      <c r="B3233" s="1"/>
      <c r="C3233" s="1"/>
      <c r="I3233" s="3"/>
      <c r="J3233" s="3"/>
      <c r="K3233" s="3"/>
      <c r="L3233" s="3"/>
    </row>
    <row r="3234" spans="2:12" x14ac:dyDescent="0.3">
      <c r="B3234" s="1"/>
      <c r="C3234" s="1"/>
      <c r="I3234" s="3"/>
      <c r="J3234" s="3"/>
      <c r="K3234" s="3"/>
      <c r="L3234" s="3"/>
    </row>
    <row r="3235" spans="2:12" x14ac:dyDescent="0.3">
      <c r="B3235" s="1"/>
      <c r="C3235" s="1"/>
      <c r="I3235" s="3"/>
      <c r="J3235" s="3"/>
      <c r="K3235" s="3"/>
      <c r="L3235" s="3"/>
    </row>
    <row r="3236" spans="2:12" x14ac:dyDescent="0.3">
      <c r="B3236" s="1"/>
      <c r="C3236" s="1"/>
      <c r="I3236" s="3"/>
      <c r="J3236" s="3"/>
      <c r="K3236" s="3"/>
      <c r="L3236" s="3"/>
    </row>
    <row r="3237" spans="2:12" x14ac:dyDescent="0.3">
      <c r="B3237" s="1"/>
      <c r="C3237" s="1"/>
      <c r="I3237" s="3"/>
      <c r="J3237" s="3"/>
      <c r="K3237" s="3"/>
      <c r="L3237" s="3"/>
    </row>
    <row r="3238" spans="2:12" x14ac:dyDescent="0.3">
      <c r="B3238" s="1"/>
      <c r="C3238" s="1"/>
      <c r="I3238" s="3"/>
      <c r="J3238" s="3"/>
      <c r="K3238" s="3"/>
      <c r="L3238" s="3"/>
    </row>
    <row r="3239" spans="2:12" x14ac:dyDescent="0.3">
      <c r="B3239" s="1"/>
      <c r="C3239" s="1"/>
      <c r="I3239" s="3"/>
      <c r="J3239" s="3"/>
      <c r="K3239" s="3"/>
      <c r="L3239" s="3"/>
    </row>
    <row r="3240" spans="2:12" x14ac:dyDescent="0.3">
      <c r="B3240" s="1"/>
      <c r="C3240" s="1"/>
      <c r="I3240" s="3"/>
      <c r="J3240" s="3"/>
      <c r="K3240" s="3"/>
      <c r="L3240" s="3"/>
    </row>
    <row r="3241" spans="2:12" x14ac:dyDescent="0.3">
      <c r="B3241" s="1"/>
      <c r="C3241" s="1"/>
      <c r="I3241" s="3"/>
      <c r="J3241" s="3"/>
      <c r="K3241" s="3"/>
      <c r="L3241" s="3"/>
    </row>
    <row r="3242" spans="2:12" x14ac:dyDescent="0.3">
      <c r="B3242" s="1"/>
      <c r="C3242" s="1"/>
      <c r="I3242" s="3"/>
      <c r="J3242" s="3"/>
      <c r="K3242" s="3"/>
      <c r="L3242" s="3"/>
    </row>
    <row r="3243" spans="2:12" x14ac:dyDescent="0.3">
      <c r="B3243" s="1"/>
      <c r="C3243" s="1"/>
      <c r="I3243" s="3"/>
      <c r="J3243" s="3"/>
      <c r="K3243" s="3"/>
      <c r="L3243" s="3"/>
    </row>
    <row r="3244" spans="2:12" x14ac:dyDescent="0.3">
      <c r="B3244" s="1"/>
      <c r="C3244" s="1"/>
      <c r="I3244" s="3"/>
      <c r="J3244" s="3"/>
      <c r="K3244" s="3"/>
      <c r="L3244" s="3"/>
    </row>
    <row r="3245" spans="2:12" x14ac:dyDescent="0.3">
      <c r="B3245" s="1"/>
      <c r="C3245" s="1"/>
      <c r="I3245" s="3"/>
      <c r="J3245" s="3"/>
      <c r="K3245" s="3"/>
      <c r="L3245" s="3"/>
    </row>
    <row r="3246" spans="2:12" x14ac:dyDescent="0.3">
      <c r="B3246" s="1"/>
      <c r="C3246" s="1"/>
      <c r="I3246" s="3"/>
      <c r="J3246" s="3"/>
      <c r="K3246" s="3"/>
      <c r="L3246" s="3"/>
    </row>
    <row r="3247" spans="2:12" x14ac:dyDescent="0.3">
      <c r="B3247" s="1"/>
      <c r="C3247" s="1"/>
      <c r="I3247" s="3"/>
      <c r="J3247" s="3"/>
      <c r="K3247" s="3"/>
      <c r="L3247" s="3"/>
    </row>
    <row r="3248" spans="2:12" x14ac:dyDescent="0.3">
      <c r="B3248" s="1"/>
      <c r="C3248" s="1"/>
      <c r="I3248" s="3"/>
      <c r="J3248" s="3"/>
      <c r="K3248" s="3"/>
      <c r="L3248" s="3"/>
    </row>
    <row r="3249" spans="2:12" x14ac:dyDescent="0.3">
      <c r="B3249" s="1"/>
      <c r="C3249" s="1"/>
      <c r="I3249" s="3"/>
      <c r="J3249" s="3"/>
      <c r="K3249" s="3"/>
      <c r="L3249" s="3"/>
    </row>
    <row r="3250" spans="2:12" x14ac:dyDescent="0.3">
      <c r="B3250" s="1"/>
      <c r="C3250" s="1"/>
      <c r="I3250" s="3"/>
      <c r="J3250" s="3"/>
      <c r="K3250" s="3"/>
      <c r="L3250" s="3"/>
    </row>
    <row r="3251" spans="2:12" x14ac:dyDescent="0.3">
      <c r="B3251" s="1"/>
      <c r="C3251" s="1"/>
      <c r="I3251" s="3"/>
      <c r="J3251" s="3"/>
      <c r="K3251" s="3"/>
      <c r="L3251" s="3"/>
    </row>
    <row r="3252" spans="2:12" x14ac:dyDescent="0.3">
      <c r="B3252" s="1"/>
      <c r="C3252" s="1"/>
      <c r="I3252" s="3"/>
      <c r="J3252" s="3"/>
      <c r="K3252" s="3"/>
      <c r="L3252" s="3"/>
    </row>
    <row r="3253" spans="2:12" x14ac:dyDescent="0.3">
      <c r="B3253" s="1"/>
      <c r="C3253" s="1"/>
      <c r="I3253" s="3"/>
      <c r="J3253" s="3"/>
      <c r="K3253" s="3"/>
      <c r="L3253" s="3"/>
    </row>
    <row r="3254" spans="2:12" x14ac:dyDescent="0.3">
      <c r="B3254" s="1"/>
      <c r="C3254" s="1"/>
      <c r="I3254" s="3"/>
      <c r="J3254" s="3"/>
      <c r="K3254" s="3"/>
      <c r="L3254" s="3"/>
    </row>
    <row r="3255" spans="2:12" x14ac:dyDescent="0.3">
      <c r="B3255" s="1"/>
      <c r="C3255" s="1"/>
      <c r="I3255" s="3"/>
      <c r="J3255" s="3"/>
      <c r="K3255" s="3"/>
      <c r="L3255" s="3"/>
    </row>
    <row r="3256" spans="2:12" x14ac:dyDescent="0.3">
      <c r="B3256" s="1"/>
      <c r="C3256" s="1"/>
      <c r="I3256" s="3"/>
      <c r="J3256" s="3"/>
      <c r="K3256" s="3"/>
      <c r="L3256" s="3"/>
    </row>
    <row r="3257" spans="2:12" x14ac:dyDescent="0.3">
      <c r="B3257" s="1"/>
      <c r="C3257" s="1"/>
      <c r="I3257" s="3"/>
      <c r="J3257" s="3"/>
      <c r="K3257" s="3"/>
      <c r="L3257" s="3"/>
    </row>
    <row r="3258" spans="2:12" x14ac:dyDescent="0.3">
      <c r="B3258" s="1"/>
      <c r="C3258" s="1"/>
      <c r="I3258" s="3"/>
      <c r="J3258" s="3"/>
      <c r="K3258" s="3"/>
      <c r="L3258" s="3"/>
    </row>
    <row r="3259" spans="2:12" x14ac:dyDescent="0.3">
      <c r="B3259" s="1"/>
      <c r="C3259" s="1"/>
      <c r="I3259" s="3"/>
      <c r="J3259" s="3"/>
      <c r="K3259" s="3"/>
      <c r="L3259" s="3"/>
    </row>
    <row r="3260" spans="2:12" x14ac:dyDescent="0.3">
      <c r="B3260" s="1"/>
      <c r="C3260" s="1"/>
      <c r="I3260" s="3"/>
      <c r="J3260" s="3"/>
      <c r="K3260" s="3"/>
      <c r="L3260" s="3"/>
    </row>
    <row r="3261" spans="2:12" x14ac:dyDescent="0.3">
      <c r="B3261" s="1"/>
      <c r="C3261" s="1"/>
      <c r="I3261" s="3"/>
      <c r="J3261" s="3"/>
      <c r="K3261" s="3"/>
      <c r="L3261" s="3"/>
    </row>
    <row r="3262" spans="2:12" x14ac:dyDescent="0.3">
      <c r="B3262" s="1"/>
      <c r="C3262" s="1"/>
      <c r="I3262" s="3"/>
      <c r="J3262" s="3"/>
      <c r="K3262" s="3"/>
      <c r="L3262" s="3"/>
    </row>
    <row r="3263" spans="2:12" x14ac:dyDescent="0.3">
      <c r="B3263" s="1"/>
      <c r="C3263" s="1"/>
      <c r="I3263" s="3"/>
      <c r="J3263" s="3"/>
      <c r="K3263" s="3"/>
      <c r="L3263" s="3"/>
    </row>
    <row r="3264" spans="2:12" x14ac:dyDescent="0.3">
      <c r="B3264" s="1"/>
      <c r="C3264" s="1"/>
      <c r="I3264" s="3"/>
      <c r="J3264" s="3"/>
      <c r="K3264" s="3"/>
      <c r="L3264" s="3"/>
    </row>
    <row r="3265" spans="2:12" x14ac:dyDescent="0.3">
      <c r="B3265" s="1"/>
      <c r="C3265" s="1"/>
      <c r="I3265" s="3"/>
      <c r="J3265" s="3"/>
      <c r="K3265" s="3"/>
      <c r="L3265" s="3"/>
    </row>
    <row r="3266" spans="2:12" x14ac:dyDescent="0.3">
      <c r="B3266" s="1"/>
      <c r="C3266" s="1"/>
      <c r="I3266" s="3"/>
      <c r="J3266" s="3"/>
      <c r="K3266" s="3"/>
      <c r="L3266" s="3"/>
    </row>
    <row r="3267" spans="2:12" x14ac:dyDescent="0.3">
      <c r="B3267" s="1"/>
      <c r="C3267" s="1"/>
      <c r="I3267" s="3"/>
      <c r="J3267" s="3"/>
      <c r="K3267" s="3"/>
      <c r="L3267" s="3"/>
    </row>
    <row r="3268" spans="2:12" x14ac:dyDescent="0.3">
      <c r="B3268" s="1"/>
      <c r="C3268" s="1"/>
      <c r="I3268" s="3"/>
      <c r="J3268" s="3"/>
      <c r="K3268" s="3"/>
      <c r="L3268" s="3"/>
    </row>
    <row r="3269" spans="2:12" x14ac:dyDescent="0.3">
      <c r="B3269" s="1"/>
      <c r="C3269" s="1"/>
      <c r="I3269" s="3"/>
      <c r="J3269" s="3"/>
      <c r="K3269" s="3"/>
      <c r="L3269" s="3"/>
    </row>
    <row r="3270" spans="2:12" x14ac:dyDescent="0.3">
      <c r="B3270" s="1"/>
      <c r="C3270" s="1"/>
      <c r="I3270" s="3"/>
      <c r="J3270" s="3"/>
      <c r="K3270" s="3"/>
      <c r="L3270" s="3"/>
    </row>
    <row r="3271" spans="2:12" x14ac:dyDescent="0.3">
      <c r="B3271" s="1"/>
      <c r="C3271" s="1"/>
      <c r="I3271" s="3"/>
      <c r="J3271" s="3"/>
      <c r="K3271" s="3"/>
      <c r="L3271" s="3"/>
    </row>
    <row r="3272" spans="2:12" x14ac:dyDescent="0.3">
      <c r="B3272" s="1"/>
      <c r="C3272" s="1"/>
      <c r="I3272" s="3"/>
      <c r="J3272" s="3"/>
      <c r="K3272" s="3"/>
      <c r="L3272" s="3"/>
    </row>
    <row r="3273" spans="2:12" x14ac:dyDescent="0.3">
      <c r="B3273" s="1"/>
      <c r="C3273" s="1"/>
      <c r="I3273" s="3"/>
      <c r="J3273" s="3"/>
      <c r="K3273" s="3"/>
      <c r="L3273" s="3"/>
    </row>
    <row r="3274" spans="2:12" x14ac:dyDescent="0.3">
      <c r="B3274" s="1"/>
      <c r="C3274" s="1"/>
      <c r="I3274" s="3"/>
      <c r="J3274" s="3"/>
      <c r="K3274" s="3"/>
      <c r="L3274" s="3"/>
    </row>
    <row r="3275" spans="2:12" x14ac:dyDescent="0.3">
      <c r="B3275" s="1"/>
      <c r="C3275" s="1"/>
      <c r="I3275" s="3"/>
      <c r="J3275" s="3"/>
      <c r="K3275" s="3"/>
      <c r="L3275" s="3"/>
    </row>
    <row r="3276" spans="2:12" x14ac:dyDescent="0.3">
      <c r="B3276" s="1"/>
      <c r="C3276" s="1"/>
      <c r="I3276" s="3"/>
      <c r="J3276" s="3"/>
      <c r="K3276" s="3"/>
      <c r="L3276" s="3"/>
    </row>
    <row r="3277" spans="2:12" x14ac:dyDescent="0.3">
      <c r="B3277" s="1"/>
      <c r="C3277" s="1"/>
      <c r="I3277" s="3"/>
      <c r="J3277" s="3"/>
      <c r="K3277" s="3"/>
      <c r="L3277" s="3"/>
    </row>
    <row r="3278" spans="2:12" x14ac:dyDescent="0.3">
      <c r="B3278" s="1"/>
      <c r="C3278" s="1"/>
      <c r="I3278" s="3"/>
      <c r="J3278" s="3"/>
      <c r="K3278" s="3"/>
      <c r="L3278" s="3"/>
    </row>
    <row r="3279" spans="2:12" x14ac:dyDescent="0.3">
      <c r="B3279" s="1"/>
      <c r="C3279" s="1"/>
      <c r="I3279" s="3"/>
      <c r="J3279" s="3"/>
      <c r="K3279" s="3"/>
      <c r="L3279" s="3"/>
    </row>
    <row r="3280" spans="2:12" x14ac:dyDescent="0.3">
      <c r="B3280" s="1"/>
      <c r="C3280" s="1"/>
      <c r="I3280" s="3"/>
      <c r="J3280" s="3"/>
      <c r="K3280" s="3"/>
      <c r="L3280" s="3"/>
    </row>
    <row r="3281" spans="2:12" x14ac:dyDescent="0.3">
      <c r="B3281" s="1"/>
      <c r="C3281" s="1"/>
      <c r="I3281" s="3"/>
      <c r="J3281" s="3"/>
      <c r="K3281" s="3"/>
      <c r="L3281" s="3"/>
    </row>
    <row r="3282" spans="2:12" x14ac:dyDescent="0.3">
      <c r="B3282" s="1"/>
      <c r="C3282" s="1"/>
      <c r="I3282" s="3"/>
      <c r="J3282" s="3"/>
      <c r="K3282" s="3"/>
      <c r="L3282" s="3"/>
    </row>
    <row r="3283" spans="2:12" x14ac:dyDescent="0.3">
      <c r="B3283" s="1"/>
      <c r="C3283" s="1"/>
      <c r="I3283" s="3"/>
      <c r="J3283" s="3"/>
      <c r="K3283" s="3"/>
      <c r="L3283" s="3"/>
    </row>
    <row r="3284" spans="2:12" x14ac:dyDescent="0.3">
      <c r="B3284" s="1"/>
      <c r="C3284" s="1"/>
      <c r="I3284" s="3"/>
      <c r="J3284" s="3"/>
      <c r="K3284" s="3"/>
      <c r="L3284" s="3"/>
    </row>
    <row r="3285" spans="2:12" x14ac:dyDescent="0.3">
      <c r="B3285" s="1"/>
      <c r="C3285" s="1"/>
      <c r="I3285" s="3"/>
      <c r="J3285" s="3"/>
      <c r="K3285" s="3"/>
      <c r="L3285" s="3"/>
    </row>
    <row r="3286" spans="2:12" x14ac:dyDescent="0.3">
      <c r="B3286" s="1"/>
      <c r="C3286" s="1"/>
      <c r="I3286" s="3"/>
      <c r="J3286" s="3"/>
      <c r="K3286" s="3"/>
      <c r="L3286" s="3"/>
    </row>
    <row r="3287" spans="2:12" x14ac:dyDescent="0.3">
      <c r="B3287" s="1"/>
      <c r="C3287" s="1"/>
      <c r="I3287" s="3"/>
      <c r="J3287" s="3"/>
      <c r="K3287" s="3"/>
      <c r="L3287" s="3"/>
    </row>
    <row r="3288" spans="2:12" x14ac:dyDescent="0.3">
      <c r="B3288" s="1"/>
      <c r="C3288" s="1"/>
      <c r="I3288" s="3"/>
      <c r="J3288" s="3"/>
      <c r="K3288" s="3"/>
      <c r="L3288" s="3"/>
    </row>
    <row r="3289" spans="2:12" x14ac:dyDescent="0.3">
      <c r="B3289" s="1"/>
      <c r="C3289" s="1"/>
      <c r="I3289" s="3"/>
      <c r="J3289" s="3"/>
      <c r="K3289" s="3"/>
      <c r="L3289" s="3"/>
    </row>
    <row r="3290" spans="2:12" x14ac:dyDescent="0.3">
      <c r="B3290" s="1"/>
      <c r="C3290" s="1"/>
      <c r="I3290" s="3"/>
      <c r="J3290" s="3"/>
      <c r="K3290" s="3"/>
      <c r="L3290" s="3"/>
    </row>
    <row r="3291" spans="2:12" x14ac:dyDescent="0.3">
      <c r="B3291" s="1"/>
      <c r="C3291" s="1"/>
      <c r="I3291" s="3"/>
      <c r="J3291" s="3"/>
      <c r="K3291" s="3"/>
      <c r="L3291" s="3"/>
    </row>
    <row r="3292" spans="2:12" x14ac:dyDescent="0.3">
      <c r="B3292" s="1"/>
      <c r="C3292" s="1"/>
      <c r="I3292" s="3"/>
      <c r="J3292" s="3"/>
      <c r="K3292" s="3"/>
      <c r="L3292" s="3"/>
    </row>
    <row r="3293" spans="2:12" x14ac:dyDescent="0.3">
      <c r="B3293" s="1"/>
      <c r="C3293" s="1"/>
      <c r="I3293" s="3"/>
      <c r="J3293" s="3"/>
      <c r="K3293" s="3"/>
      <c r="L3293" s="3"/>
    </row>
    <row r="3294" spans="2:12" x14ac:dyDescent="0.3">
      <c r="B3294" s="1"/>
      <c r="C3294" s="1"/>
      <c r="I3294" s="3"/>
      <c r="J3294" s="3"/>
      <c r="K3294" s="3"/>
      <c r="L3294" s="3"/>
    </row>
    <row r="3295" spans="2:12" x14ac:dyDescent="0.3">
      <c r="B3295" s="1"/>
      <c r="C3295" s="1"/>
      <c r="I3295" s="3"/>
      <c r="J3295" s="3"/>
      <c r="K3295" s="3"/>
      <c r="L3295" s="3"/>
    </row>
    <row r="3296" spans="2:12" x14ac:dyDescent="0.3">
      <c r="B3296" s="1"/>
      <c r="C3296" s="1"/>
      <c r="I3296" s="3"/>
      <c r="J3296" s="3"/>
      <c r="K3296" s="3"/>
      <c r="L3296" s="3"/>
    </row>
    <row r="3297" spans="2:12" x14ac:dyDescent="0.3">
      <c r="B3297" s="1"/>
      <c r="C3297" s="1"/>
      <c r="I3297" s="3"/>
      <c r="J3297" s="3"/>
      <c r="K3297" s="3"/>
      <c r="L3297" s="3"/>
    </row>
    <row r="3298" spans="2:12" x14ac:dyDescent="0.3">
      <c r="B3298" s="1"/>
      <c r="C3298" s="1"/>
      <c r="I3298" s="3"/>
      <c r="J3298" s="3"/>
      <c r="K3298" s="3"/>
      <c r="L3298" s="3"/>
    </row>
    <row r="3299" spans="2:12" x14ac:dyDescent="0.3">
      <c r="B3299" s="1"/>
      <c r="C3299" s="1"/>
      <c r="I3299" s="3"/>
      <c r="J3299" s="3"/>
      <c r="K3299" s="3"/>
      <c r="L3299" s="3"/>
    </row>
    <row r="3300" spans="2:12" x14ac:dyDescent="0.3">
      <c r="B3300" s="1"/>
      <c r="C3300" s="1"/>
      <c r="I3300" s="3"/>
      <c r="J3300" s="3"/>
      <c r="K3300" s="3"/>
      <c r="L3300" s="3"/>
    </row>
    <row r="3301" spans="2:12" x14ac:dyDescent="0.3">
      <c r="B3301" s="1"/>
      <c r="C3301" s="1"/>
      <c r="I3301" s="3"/>
      <c r="J3301" s="3"/>
      <c r="K3301" s="3"/>
      <c r="L3301" s="3"/>
    </row>
    <row r="3302" spans="2:12" x14ac:dyDescent="0.3">
      <c r="B3302" s="1"/>
      <c r="C3302" s="1"/>
      <c r="I3302" s="3"/>
      <c r="J3302" s="3"/>
      <c r="K3302" s="3"/>
      <c r="L3302" s="3"/>
    </row>
    <row r="3303" spans="2:12" x14ac:dyDescent="0.3">
      <c r="B3303" s="1"/>
      <c r="C3303" s="1"/>
      <c r="I3303" s="3"/>
      <c r="J3303" s="3"/>
      <c r="K3303" s="3"/>
      <c r="L3303" s="3"/>
    </row>
    <row r="3304" spans="2:12" x14ac:dyDescent="0.3">
      <c r="B3304" s="1"/>
      <c r="C3304" s="1"/>
      <c r="I3304" s="3"/>
      <c r="J3304" s="3"/>
      <c r="K3304" s="3"/>
      <c r="L3304" s="3"/>
    </row>
    <row r="3305" spans="2:12" x14ac:dyDescent="0.3">
      <c r="B3305" s="1"/>
      <c r="C3305" s="1"/>
      <c r="I3305" s="3"/>
      <c r="J3305" s="3"/>
      <c r="K3305" s="3"/>
      <c r="L3305" s="3"/>
    </row>
    <row r="3306" spans="2:12" x14ac:dyDescent="0.3">
      <c r="B3306" s="1"/>
      <c r="C3306" s="1"/>
      <c r="I3306" s="3"/>
      <c r="J3306" s="3"/>
      <c r="K3306" s="3"/>
      <c r="L3306" s="3"/>
    </row>
    <row r="3307" spans="2:12" x14ac:dyDescent="0.3">
      <c r="B3307" s="1"/>
      <c r="C3307" s="1"/>
      <c r="I3307" s="3"/>
      <c r="J3307" s="3"/>
      <c r="K3307" s="3"/>
      <c r="L3307" s="3"/>
    </row>
    <row r="3308" spans="2:12" x14ac:dyDescent="0.3">
      <c r="B3308" s="1"/>
      <c r="C3308" s="1"/>
      <c r="I3308" s="3"/>
      <c r="J3308" s="3"/>
      <c r="K3308" s="3"/>
      <c r="L3308" s="3"/>
    </row>
    <row r="3309" spans="2:12" x14ac:dyDescent="0.3">
      <c r="B3309" s="1"/>
      <c r="C3309" s="1"/>
      <c r="I3309" s="3"/>
      <c r="J3309" s="3"/>
      <c r="K3309" s="3"/>
      <c r="L3309" s="3"/>
    </row>
    <row r="3310" spans="2:12" x14ac:dyDescent="0.3">
      <c r="B3310" s="1"/>
      <c r="C3310" s="1"/>
      <c r="I3310" s="3"/>
      <c r="J3310" s="3"/>
      <c r="K3310" s="3"/>
      <c r="L3310" s="3"/>
    </row>
    <row r="3311" spans="2:12" x14ac:dyDescent="0.3">
      <c r="B3311" s="1"/>
      <c r="C3311" s="1"/>
      <c r="I3311" s="3"/>
      <c r="J3311" s="3"/>
      <c r="K3311" s="3"/>
      <c r="L3311" s="3"/>
    </row>
    <row r="3312" spans="2:12" x14ac:dyDescent="0.3">
      <c r="B3312" s="1"/>
      <c r="C3312" s="1"/>
      <c r="I3312" s="3"/>
      <c r="J3312" s="3"/>
      <c r="K3312" s="3"/>
      <c r="L3312" s="3"/>
    </row>
    <row r="3313" spans="2:12" x14ac:dyDescent="0.3">
      <c r="B3313" s="1"/>
      <c r="C3313" s="1"/>
      <c r="I3313" s="3"/>
      <c r="J3313" s="3"/>
      <c r="K3313" s="3"/>
      <c r="L3313" s="3"/>
    </row>
    <row r="3314" spans="2:12" x14ac:dyDescent="0.3">
      <c r="B3314" s="1"/>
      <c r="C3314" s="1"/>
      <c r="I3314" s="3"/>
      <c r="J3314" s="3"/>
      <c r="K3314" s="3"/>
      <c r="L3314" s="3"/>
    </row>
    <row r="3315" spans="2:12" x14ac:dyDescent="0.3">
      <c r="B3315" s="1"/>
      <c r="C3315" s="1"/>
      <c r="I3315" s="3"/>
      <c r="J3315" s="3"/>
      <c r="K3315" s="3"/>
      <c r="L3315" s="3"/>
    </row>
    <row r="3316" spans="2:12" x14ac:dyDescent="0.3">
      <c r="B3316" s="1"/>
      <c r="C3316" s="1"/>
      <c r="I3316" s="3"/>
      <c r="J3316" s="3"/>
      <c r="K3316" s="3"/>
      <c r="L3316" s="3"/>
    </row>
    <row r="3317" spans="2:12" x14ac:dyDescent="0.3">
      <c r="B3317" s="1"/>
      <c r="C3317" s="1"/>
      <c r="I3317" s="3"/>
      <c r="J3317" s="3"/>
      <c r="K3317" s="3"/>
      <c r="L3317" s="3"/>
    </row>
    <row r="3318" spans="2:12" x14ac:dyDescent="0.3">
      <c r="B3318" s="1"/>
      <c r="C3318" s="1"/>
      <c r="I3318" s="3"/>
      <c r="J3318" s="3"/>
      <c r="K3318" s="3"/>
      <c r="L3318" s="3"/>
    </row>
    <row r="3319" spans="2:12" x14ac:dyDescent="0.3">
      <c r="B3319" s="1"/>
      <c r="C3319" s="1"/>
      <c r="I3319" s="3"/>
      <c r="J3319" s="3"/>
      <c r="K3319" s="3"/>
      <c r="L3319" s="3"/>
    </row>
    <row r="3320" spans="2:12" x14ac:dyDescent="0.3">
      <c r="B3320" s="1"/>
      <c r="C3320" s="1"/>
      <c r="I3320" s="3"/>
      <c r="J3320" s="3"/>
      <c r="K3320" s="3"/>
      <c r="L3320" s="3"/>
    </row>
    <row r="3321" spans="2:12" x14ac:dyDescent="0.3">
      <c r="B3321" s="1"/>
      <c r="C3321" s="1"/>
      <c r="I3321" s="3"/>
      <c r="J3321" s="3"/>
      <c r="K3321" s="3"/>
      <c r="L3321" s="3"/>
    </row>
    <row r="3322" spans="2:12" x14ac:dyDescent="0.3">
      <c r="B3322" s="1"/>
      <c r="C3322" s="1"/>
      <c r="I3322" s="3"/>
      <c r="J3322" s="3"/>
      <c r="K3322" s="3"/>
      <c r="L3322" s="3"/>
    </row>
    <row r="3323" spans="2:12" x14ac:dyDescent="0.3">
      <c r="B3323" s="1"/>
      <c r="C3323" s="1"/>
      <c r="I3323" s="3"/>
      <c r="J3323" s="3"/>
      <c r="K3323" s="3"/>
      <c r="L3323" s="3"/>
    </row>
    <row r="3324" spans="2:12" x14ac:dyDescent="0.3">
      <c r="B3324" s="1"/>
      <c r="C3324" s="1"/>
      <c r="I3324" s="3"/>
      <c r="J3324" s="3"/>
      <c r="K3324" s="3"/>
      <c r="L3324" s="3"/>
    </row>
    <row r="3325" spans="2:12" x14ac:dyDescent="0.3">
      <c r="B3325" s="1"/>
      <c r="C3325" s="1"/>
      <c r="I3325" s="3"/>
      <c r="J3325" s="3"/>
      <c r="K3325" s="3"/>
      <c r="L3325" s="3"/>
    </row>
    <row r="3326" spans="2:12" x14ac:dyDescent="0.3">
      <c r="B3326" s="1"/>
      <c r="C3326" s="1"/>
      <c r="I3326" s="3"/>
      <c r="J3326" s="3"/>
      <c r="K3326" s="3"/>
      <c r="L3326" s="3"/>
    </row>
    <row r="3327" spans="2:12" x14ac:dyDescent="0.3">
      <c r="B3327" s="1"/>
      <c r="C3327" s="1"/>
      <c r="I3327" s="3"/>
      <c r="J3327" s="3"/>
      <c r="K3327" s="3"/>
      <c r="L3327" s="3"/>
    </row>
    <row r="3328" spans="2:12" x14ac:dyDescent="0.3">
      <c r="B3328" s="1"/>
      <c r="C3328" s="1"/>
      <c r="I3328" s="3"/>
      <c r="J3328" s="3"/>
      <c r="K3328" s="3"/>
      <c r="L3328" s="3"/>
    </row>
    <row r="3329" spans="2:12" x14ac:dyDescent="0.3">
      <c r="B3329" s="1"/>
      <c r="C3329" s="1"/>
      <c r="I3329" s="3"/>
      <c r="J3329" s="3"/>
      <c r="K3329" s="3"/>
      <c r="L3329" s="3"/>
    </row>
    <row r="3330" spans="2:12" x14ac:dyDescent="0.3">
      <c r="B3330" s="1"/>
      <c r="C3330" s="1"/>
      <c r="I3330" s="3"/>
      <c r="J3330" s="3"/>
      <c r="K3330" s="3"/>
      <c r="L3330" s="3"/>
    </row>
    <row r="3331" spans="2:12" x14ac:dyDescent="0.3">
      <c r="B3331" s="1"/>
      <c r="C3331" s="1"/>
      <c r="I3331" s="3"/>
      <c r="J3331" s="3"/>
      <c r="K3331" s="3"/>
      <c r="L3331" s="3"/>
    </row>
    <row r="3332" spans="2:12" x14ac:dyDescent="0.3">
      <c r="B3332" s="1"/>
      <c r="C3332" s="1"/>
      <c r="I3332" s="3"/>
      <c r="J3332" s="3"/>
      <c r="K3332" s="3"/>
      <c r="L3332" s="3"/>
    </row>
    <row r="3333" spans="2:12" x14ac:dyDescent="0.3">
      <c r="B3333" s="1"/>
      <c r="C3333" s="1"/>
      <c r="I3333" s="3"/>
      <c r="J3333" s="3"/>
      <c r="K3333" s="3"/>
      <c r="L3333" s="3"/>
    </row>
    <row r="3334" spans="2:12" x14ac:dyDescent="0.3">
      <c r="B3334" s="1"/>
      <c r="C3334" s="1"/>
      <c r="I3334" s="3"/>
      <c r="J3334" s="3"/>
      <c r="K3334" s="3"/>
      <c r="L3334" s="3"/>
    </row>
    <row r="3335" spans="2:12" x14ac:dyDescent="0.3">
      <c r="B3335" s="1"/>
      <c r="C3335" s="1"/>
      <c r="I3335" s="3"/>
      <c r="J3335" s="3"/>
      <c r="K3335" s="3"/>
      <c r="L3335" s="3"/>
    </row>
    <row r="3336" spans="2:12" x14ac:dyDescent="0.3">
      <c r="B3336" s="1"/>
      <c r="C3336" s="1"/>
      <c r="I3336" s="3"/>
      <c r="J3336" s="3"/>
      <c r="K3336" s="3"/>
      <c r="L3336" s="3"/>
    </row>
    <row r="3337" spans="2:12" x14ac:dyDescent="0.3">
      <c r="B3337" s="1"/>
      <c r="C3337" s="1"/>
      <c r="I3337" s="3"/>
      <c r="J3337" s="3"/>
      <c r="K3337" s="3"/>
      <c r="L3337" s="3"/>
    </row>
    <row r="3338" spans="2:12" x14ac:dyDescent="0.3">
      <c r="B3338" s="1"/>
      <c r="C3338" s="1"/>
      <c r="I3338" s="3"/>
      <c r="J3338" s="3"/>
      <c r="K3338" s="3"/>
      <c r="L3338" s="3"/>
    </row>
    <row r="3339" spans="2:12" x14ac:dyDescent="0.3">
      <c r="B3339" s="1"/>
      <c r="C3339" s="1"/>
      <c r="I3339" s="3"/>
      <c r="J3339" s="3"/>
      <c r="K3339" s="3"/>
      <c r="L3339" s="3"/>
    </row>
    <row r="3340" spans="2:12" x14ac:dyDescent="0.3">
      <c r="B3340" s="1"/>
      <c r="C3340" s="1"/>
      <c r="I3340" s="3"/>
      <c r="J3340" s="3"/>
      <c r="K3340" s="3"/>
      <c r="L3340" s="3"/>
    </row>
    <row r="3341" spans="2:12" x14ac:dyDescent="0.3">
      <c r="B3341" s="1"/>
      <c r="C3341" s="1"/>
      <c r="I3341" s="3"/>
      <c r="J3341" s="3"/>
      <c r="K3341" s="3"/>
      <c r="L3341" s="3"/>
    </row>
    <row r="3342" spans="2:12" x14ac:dyDescent="0.3">
      <c r="B3342" s="1"/>
      <c r="C3342" s="1"/>
      <c r="I3342" s="3"/>
      <c r="J3342" s="3"/>
      <c r="K3342" s="3"/>
      <c r="L3342" s="3"/>
    </row>
    <row r="3343" spans="2:12" x14ac:dyDescent="0.3">
      <c r="B3343" s="1"/>
      <c r="C3343" s="1"/>
      <c r="I3343" s="3"/>
      <c r="J3343" s="3"/>
      <c r="K3343" s="3"/>
      <c r="L3343" s="3"/>
    </row>
    <row r="3344" spans="2:12" x14ac:dyDescent="0.3">
      <c r="B3344" s="1"/>
      <c r="C3344" s="1"/>
      <c r="I3344" s="3"/>
      <c r="J3344" s="3"/>
      <c r="K3344" s="3"/>
      <c r="L3344" s="3"/>
    </row>
    <row r="3345" spans="2:12" x14ac:dyDescent="0.3">
      <c r="B3345" s="1"/>
      <c r="C3345" s="1"/>
      <c r="I3345" s="3"/>
      <c r="J3345" s="3"/>
      <c r="K3345" s="3"/>
      <c r="L3345" s="3"/>
    </row>
    <row r="3346" spans="2:12" x14ac:dyDescent="0.3">
      <c r="B3346" s="1"/>
      <c r="C3346" s="1"/>
      <c r="I3346" s="3"/>
      <c r="J3346" s="3"/>
      <c r="K3346" s="3"/>
      <c r="L3346" s="3"/>
    </row>
    <row r="3347" spans="2:12" x14ac:dyDescent="0.3">
      <c r="B3347" s="1"/>
      <c r="C3347" s="1"/>
      <c r="I3347" s="3"/>
      <c r="J3347" s="3"/>
      <c r="K3347" s="3"/>
      <c r="L3347" s="3"/>
    </row>
    <row r="3348" spans="2:12" x14ac:dyDescent="0.3">
      <c r="B3348" s="1"/>
      <c r="C3348" s="1"/>
      <c r="I3348" s="3"/>
      <c r="J3348" s="3"/>
      <c r="K3348" s="3"/>
      <c r="L3348" s="3"/>
    </row>
    <row r="3349" spans="2:12" x14ac:dyDescent="0.3">
      <c r="B3349" s="1"/>
      <c r="C3349" s="1"/>
      <c r="I3349" s="3"/>
      <c r="J3349" s="3"/>
      <c r="K3349" s="3"/>
      <c r="L3349" s="3"/>
    </row>
    <row r="3350" spans="2:12" x14ac:dyDescent="0.3">
      <c r="B3350" s="1"/>
      <c r="C3350" s="1"/>
      <c r="I3350" s="3"/>
      <c r="J3350" s="3"/>
      <c r="K3350" s="3"/>
      <c r="L3350" s="3"/>
    </row>
    <row r="3351" spans="2:12" x14ac:dyDescent="0.3">
      <c r="B3351" s="1"/>
      <c r="C3351" s="1"/>
      <c r="I3351" s="3"/>
      <c r="J3351" s="3"/>
      <c r="K3351" s="3"/>
      <c r="L3351" s="3"/>
    </row>
    <row r="3352" spans="2:12" x14ac:dyDescent="0.3">
      <c r="B3352" s="1"/>
      <c r="C3352" s="1"/>
      <c r="I3352" s="3"/>
      <c r="J3352" s="3"/>
      <c r="K3352" s="3"/>
      <c r="L3352" s="3"/>
    </row>
    <row r="3353" spans="2:12" x14ac:dyDescent="0.3">
      <c r="B3353" s="1"/>
      <c r="C3353" s="1"/>
      <c r="I3353" s="3"/>
      <c r="J3353" s="3"/>
      <c r="K3353" s="3"/>
      <c r="L3353" s="3"/>
    </row>
    <row r="3354" spans="2:12" x14ac:dyDescent="0.3">
      <c r="B3354" s="1"/>
      <c r="C3354" s="1"/>
      <c r="I3354" s="3"/>
      <c r="J3354" s="3"/>
      <c r="K3354" s="3"/>
      <c r="L3354" s="3"/>
    </row>
    <row r="3355" spans="2:12" x14ac:dyDescent="0.3">
      <c r="B3355" s="1"/>
      <c r="C3355" s="1"/>
      <c r="I3355" s="3"/>
      <c r="J3355" s="3"/>
      <c r="K3355" s="3"/>
      <c r="L3355" s="3"/>
    </row>
    <row r="3356" spans="2:12" x14ac:dyDescent="0.3">
      <c r="B3356" s="1"/>
      <c r="C3356" s="1"/>
      <c r="I3356" s="3"/>
      <c r="J3356" s="3"/>
      <c r="K3356" s="3"/>
      <c r="L3356" s="3"/>
    </row>
    <row r="3357" spans="2:12" x14ac:dyDescent="0.3">
      <c r="B3357" s="1"/>
      <c r="C3357" s="1"/>
      <c r="I3357" s="3"/>
      <c r="J3357" s="3"/>
      <c r="K3357" s="3"/>
      <c r="L3357" s="3"/>
    </row>
    <row r="3358" spans="2:12" x14ac:dyDescent="0.3">
      <c r="B3358" s="1"/>
      <c r="C3358" s="1"/>
      <c r="I3358" s="3"/>
      <c r="J3358" s="3"/>
      <c r="K3358" s="3"/>
      <c r="L3358" s="3"/>
    </row>
    <row r="3359" spans="2:12" x14ac:dyDescent="0.3">
      <c r="B3359" s="1"/>
      <c r="C3359" s="1"/>
      <c r="I3359" s="3"/>
      <c r="J3359" s="3"/>
      <c r="K3359" s="3"/>
      <c r="L3359" s="3"/>
    </row>
    <row r="3360" spans="2:12" x14ac:dyDescent="0.3">
      <c r="B3360" s="1"/>
      <c r="C3360" s="1"/>
      <c r="I3360" s="3"/>
      <c r="J3360" s="3"/>
      <c r="K3360" s="3"/>
      <c r="L3360" s="3"/>
    </row>
    <row r="3361" spans="2:12" x14ac:dyDescent="0.3">
      <c r="B3361" s="1"/>
      <c r="C3361" s="1"/>
      <c r="I3361" s="3"/>
      <c r="J3361" s="3"/>
      <c r="K3361" s="3"/>
      <c r="L3361" s="3"/>
    </row>
    <row r="3362" spans="2:12" x14ac:dyDescent="0.3">
      <c r="B3362" s="1"/>
      <c r="C3362" s="1"/>
      <c r="I3362" s="3"/>
      <c r="J3362" s="3"/>
      <c r="K3362" s="3"/>
      <c r="L3362" s="3"/>
    </row>
    <row r="3363" spans="2:12" x14ac:dyDescent="0.3">
      <c r="B3363" s="1"/>
      <c r="C3363" s="1"/>
      <c r="I3363" s="3"/>
      <c r="J3363" s="3"/>
      <c r="K3363" s="3"/>
      <c r="L3363" s="3"/>
    </row>
    <row r="3364" spans="2:12" x14ac:dyDescent="0.3">
      <c r="B3364" s="1"/>
      <c r="C3364" s="1"/>
      <c r="I3364" s="3"/>
      <c r="J3364" s="3"/>
      <c r="K3364" s="3"/>
      <c r="L3364" s="3"/>
    </row>
    <row r="3365" spans="2:12" x14ac:dyDescent="0.3">
      <c r="B3365" s="1"/>
      <c r="C3365" s="1"/>
      <c r="I3365" s="3"/>
      <c r="J3365" s="3"/>
      <c r="K3365" s="3"/>
      <c r="L3365" s="3"/>
    </row>
    <row r="3366" spans="2:12" x14ac:dyDescent="0.3">
      <c r="B3366" s="1"/>
      <c r="C3366" s="1"/>
      <c r="I3366" s="3"/>
      <c r="J3366" s="3"/>
      <c r="K3366" s="3"/>
      <c r="L3366" s="3"/>
    </row>
    <row r="3367" spans="2:12" x14ac:dyDescent="0.3">
      <c r="B3367" s="1"/>
      <c r="C3367" s="1"/>
      <c r="I3367" s="3"/>
      <c r="J3367" s="3"/>
      <c r="K3367" s="3"/>
      <c r="L3367" s="3"/>
    </row>
    <row r="3368" spans="2:12" x14ac:dyDescent="0.3">
      <c r="B3368" s="1"/>
      <c r="C3368" s="1"/>
      <c r="I3368" s="3"/>
      <c r="J3368" s="3"/>
      <c r="K3368" s="3"/>
      <c r="L3368" s="3"/>
    </row>
    <row r="3369" spans="2:12" x14ac:dyDescent="0.3">
      <c r="B3369" s="1"/>
      <c r="C3369" s="1"/>
      <c r="I3369" s="3"/>
      <c r="J3369" s="3"/>
      <c r="K3369" s="3"/>
      <c r="L3369" s="3"/>
    </row>
    <row r="3370" spans="2:12" x14ac:dyDescent="0.3">
      <c r="B3370" s="1"/>
      <c r="C3370" s="1"/>
      <c r="I3370" s="3"/>
      <c r="J3370" s="3"/>
      <c r="K3370" s="3"/>
      <c r="L3370" s="3"/>
    </row>
    <row r="3371" spans="2:12" x14ac:dyDescent="0.3">
      <c r="B3371" s="1"/>
      <c r="C3371" s="1"/>
      <c r="I3371" s="3"/>
      <c r="J3371" s="3"/>
      <c r="K3371" s="3"/>
      <c r="L3371" s="3"/>
    </row>
    <row r="3372" spans="2:12" x14ac:dyDescent="0.3">
      <c r="B3372" s="1"/>
      <c r="C3372" s="1"/>
      <c r="I3372" s="3"/>
      <c r="J3372" s="3"/>
      <c r="K3372" s="3"/>
      <c r="L3372" s="3"/>
    </row>
    <row r="3373" spans="2:12" x14ac:dyDescent="0.3">
      <c r="B3373" s="1"/>
      <c r="C3373" s="1"/>
      <c r="I3373" s="3"/>
      <c r="J3373" s="3"/>
      <c r="K3373" s="3"/>
      <c r="L3373" s="3"/>
    </row>
    <row r="3374" spans="2:12" x14ac:dyDescent="0.3">
      <c r="B3374" s="1"/>
      <c r="C3374" s="1"/>
      <c r="I3374" s="3"/>
      <c r="J3374" s="3"/>
      <c r="K3374" s="3"/>
      <c r="L3374" s="3"/>
    </row>
    <row r="3375" spans="2:12" x14ac:dyDescent="0.3">
      <c r="B3375" s="1"/>
      <c r="C3375" s="1"/>
      <c r="I3375" s="3"/>
      <c r="J3375" s="3"/>
      <c r="K3375" s="3"/>
      <c r="L3375" s="3"/>
    </row>
    <row r="3376" spans="2:12" x14ac:dyDescent="0.3">
      <c r="B3376" s="1"/>
      <c r="C3376" s="1"/>
      <c r="I3376" s="3"/>
      <c r="J3376" s="3"/>
      <c r="K3376" s="3"/>
      <c r="L3376" s="3"/>
    </row>
    <row r="3377" spans="2:12" x14ac:dyDescent="0.3">
      <c r="B3377" s="1"/>
      <c r="C3377" s="1"/>
      <c r="I3377" s="3"/>
      <c r="J3377" s="3"/>
      <c r="K3377" s="3"/>
      <c r="L3377" s="3"/>
    </row>
    <row r="3378" spans="2:12" x14ac:dyDescent="0.3">
      <c r="B3378" s="1"/>
      <c r="C3378" s="1"/>
      <c r="I3378" s="3"/>
      <c r="J3378" s="3"/>
      <c r="K3378" s="3"/>
      <c r="L3378" s="3"/>
    </row>
    <row r="3379" spans="2:12" x14ac:dyDescent="0.3">
      <c r="B3379" s="1"/>
      <c r="C3379" s="1"/>
      <c r="I3379" s="3"/>
      <c r="J3379" s="3"/>
      <c r="K3379" s="3"/>
      <c r="L3379" s="3"/>
    </row>
    <row r="3380" spans="2:12" x14ac:dyDescent="0.3">
      <c r="B3380" s="1"/>
      <c r="C3380" s="1"/>
      <c r="I3380" s="3"/>
      <c r="J3380" s="3"/>
      <c r="K3380" s="3"/>
      <c r="L3380" s="3"/>
    </row>
    <row r="3381" spans="2:12" x14ac:dyDescent="0.3">
      <c r="B3381" s="1"/>
      <c r="C3381" s="1"/>
      <c r="I3381" s="3"/>
      <c r="J3381" s="3"/>
      <c r="K3381" s="3"/>
      <c r="L3381" s="3"/>
    </row>
    <row r="3382" spans="2:12" x14ac:dyDescent="0.3">
      <c r="B3382" s="1"/>
      <c r="C3382" s="1"/>
      <c r="I3382" s="3"/>
      <c r="J3382" s="3"/>
      <c r="K3382" s="3"/>
      <c r="L3382" s="3"/>
    </row>
    <row r="3383" spans="2:12" x14ac:dyDescent="0.3">
      <c r="B3383" s="1"/>
      <c r="C3383" s="1"/>
      <c r="I3383" s="3"/>
      <c r="J3383" s="3"/>
      <c r="K3383" s="3"/>
      <c r="L3383" s="3"/>
    </row>
    <row r="3384" spans="2:12" x14ac:dyDescent="0.3">
      <c r="B3384" s="1"/>
      <c r="C3384" s="1"/>
      <c r="I3384" s="3"/>
      <c r="J3384" s="3"/>
      <c r="K3384" s="3"/>
      <c r="L3384" s="3"/>
    </row>
    <row r="3385" spans="2:12" x14ac:dyDescent="0.3">
      <c r="B3385" s="1"/>
      <c r="C3385" s="1"/>
      <c r="I3385" s="3"/>
      <c r="J3385" s="3"/>
      <c r="K3385" s="3"/>
      <c r="L3385" s="3"/>
    </row>
    <row r="3386" spans="2:12" x14ac:dyDescent="0.3">
      <c r="B3386" s="1"/>
      <c r="C3386" s="1"/>
      <c r="I3386" s="3"/>
      <c r="J3386" s="3"/>
      <c r="K3386" s="3"/>
      <c r="L3386" s="3"/>
    </row>
    <row r="3387" spans="2:12" x14ac:dyDescent="0.3">
      <c r="B3387" s="1"/>
      <c r="C3387" s="1"/>
      <c r="I3387" s="3"/>
      <c r="J3387" s="3"/>
      <c r="K3387" s="3"/>
      <c r="L3387" s="3"/>
    </row>
    <row r="3388" spans="2:12" x14ac:dyDescent="0.3">
      <c r="B3388" s="1"/>
      <c r="C3388" s="1"/>
      <c r="I3388" s="3"/>
      <c r="J3388" s="3"/>
      <c r="K3388" s="3"/>
      <c r="L3388" s="3"/>
    </row>
    <row r="3389" spans="2:12" x14ac:dyDescent="0.3">
      <c r="B3389" s="1"/>
      <c r="C3389" s="1"/>
      <c r="I3389" s="3"/>
      <c r="J3389" s="3"/>
      <c r="K3389" s="3"/>
      <c r="L3389" s="3"/>
    </row>
    <row r="3390" spans="2:12" x14ac:dyDescent="0.3">
      <c r="B3390" s="1"/>
      <c r="C3390" s="1"/>
      <c r="I3390" s="3"/>
      <c r="J3390" s="3"/>
      <c r="K3390" s="3"/>
      <c r="L3390" s="3"/>
    </row>
    <row r="3391" spans="2:12" x14ac:dyDescent="0.3">
      <c r="B3391" s="1"/>
      <c r="C3391" s="1"/>
      <c r="I3391" s="3"/>
      <c r="J3391" s="3"/>
      <c r="K3391" s="3"/>
      <c r="L3391" s="3"/>
    </row>
    <row r="3392" spans="2:12" x14ac:dyDescent="0.3">
      <c r="B3392" s="1"/>
      <c r="C3392" s="1"/>
      <c r="I3392" s="3"/>
      <c r="J3392" s="3"/>
      <c r="K3392" s="3"/>
      <c r="L3392" s="3"/>
    </row>
    <row r="3393" spans="2:12" x14ac:dyDescent="0.3">
      <c r="B3393" s="1"/>
      <c r="C3393" s="1"/>
      <c r="I3393" s="3"/>
      <c r="J3393" s="3"/>
      <c r="K3393" s="3"/>
      <c r="L3393" s="3"/>
    </row>
    <row r="3394" spans="2:12" x14ac:dyDescent="0.3">
      <c r="B3394" s="1"/>
      <c r="C3394" s="1"/>
      <c r="I3394" s="3"/>
      <c r="J3394" s="3"/>
      <c r="K3394" s="3"/>
      <c r="L3394" s="3"/>
    </row>
    <row r="3395" spans="2:12" x14ac:dyDescent="0.3">
      <c r="B3395" s="1"/>
      <c r="C3395" s="1"/>
      <c r="I3395" s="3"/>
      <c r="J3395" s="3"/>
      <c r="K3395" s="3"/>
      <c r="L3395" s="3"/>
    </row>
    <row r="3396" spans="2:12" x14ac:dyDescent="0.3">
      <c r="B3396" s="1"/>
      <c r="C3396" s="1"/>
      <c r="I3396" s="3"/>
      <c r="J3396" s="3"/>
      <c r="K3396" s="3"/>
      <c r="L3396" s="3"/>
    </row>
    <row r="3397" spans="2:12" x14ac:dyDescent="0.3">
      <c r="B3397" s="1"/>
      <c r="C3397" s="1"/>
      <c r="I3397" s="3"/>
      <c r="J3397" s="3"/>
      <c r="K3397" s="3"/>
      <c r="L3397" s="3"/>
    </row>
    <row r="3398" spans="2:12" x14ac:dyDescent="0.3">
      <c r="B3398" s="1"/>
      <c r="C3398" s="1"/>
      <c r="I3398" s="3"/>
      <c r="J3398" s="3"/>
      <c r="K3398" s="3"/>
      <c r="L3398" s="3"/>
    </row>
    <row r="3399" spans="2:12" x14ac:dyDescent="0.3">
      <c r="B3399" s="1"/>
      <c r="C3399" s="1"/>
      <c r="I3399" s="3"/>
      <c r="J3399" s="3"/>
      <c r="K3399" s="3"/>
      <c r="L3399" s="3"/>
    </row>
    <row r="3400" spans="2:12" x14ac:dyDescent="0.3">
      <c r="B3400" s="1"/>
      <c r="C3400" s="1"/>
      <c r="I3400" s="3"/>
      <c r="J3400" s="3"/>
      <c r="K3400" s="3"/>
      <c r="L3400" s="3"/>
    </row>
    <row r="3401" spans="2:12" x14ac:dyDescent="0.3">
      <c r="B3401" s="1"/>
      <c r="C3401" s="1"/>
      <c r="I3401" s="3"/>
      <c r="J3401" s="3"/>
      <c r="K3401" s="3"/>
      <c r="L3401" s="3"/>
    </row>
    <row r="3402" spans="2:12" x14ac:dyDescent="0.3">
      <c r="B3402" s="1"/>
      <c r="C3402" s="1"/>
      <c r="I3402" s="3"/>
      <c r="J3402" s="3"/>
      <c r="K3402" s="3"/>
      <c r="L3402" s="3"/>
    </row>
    <row r="3403" spans="2:12" x14ac:dyDescent="0.3">
      <c r="B3403" s="1"/>
      <c r="C3403" s="1"/>
      <c r="I3403" s="3"/>
      <c r="J3403" s="3"/>
      <c r="K3403" s="3"/>
      <c r="L3403" s="3"/>
    </row>
    <row r="3404" spans="2:12" x14ac:dyDescent="0.3">
      <c r="B3404" s="1"/>
      <c r="C3404" s="1"/>
      <c r="I3404" s="3"/>
      <c r="J3404" s="3"/>
      <c r="K3404" s="3"/>
      <c r="L3404" s="3"/>
    </row>
    <row r="3405" spans="2:12" x14ac:dyDescent="0.3">
      <c r="B3405" s="1"/>
      <c r="C3405" s="1"/>
      <c r="I3405" s="3"/>
      <c r="J3405" s="3"/>
      <c r="K3405" s="3"/>
      <c r="L3405" s="3"/>
    </row>
    <row r="3406" spans="2:12" x14ac:dyDescent="0.3">
      <c r="B3406" s="1"/>
      <c r="C3406" s="1"/>
      <c r="I3406" s="3"/>
      <c r="J3406" s="3"/>
      <c r="K3406" s="3"/>
      <c r="L3406" s="3"/>
    </row>
    <row r="3407" spans="2:12" x14ac:dyDescent="0.3">
      <c r="B3407" s="1"/>
      <c r="C3407" s="1"/>
      <c r="I3407" s="3"/>
      <c r="J3407" s="3"/>
      <c r="K3407" s="3"/>
      <c r="L3407" s="3"/>
    </row>
    <row r="3408" spans="2:12" x14ac:dyDescent="0.3">
      <c r="B3408" s="1"/>
      <c r="C3408" s="1"/>
      <c r="I3408" s="3"/>
      <c r="J3408" s="3"/>
      <c r="K3408" s="3"/>
      <c r="L3408" s="3"/>
    </row>
    <row r="3409" spans="2:12" x14ac:dyDescent="0.3">
      <c r="B3409" s="1"/>
      <c r="C3409" s="1"/>
      <c r="I3409" s="3"/>
      <c r="J3409" s="3"/>
      <c r="K3409" s="3"/>
      <c r="L3409" s="3"/>
    </row>
    <row r="3410" spans="2:12" x14ac:dyDescent="0.3">
      <c r="B3410" s="1"/>
      <c r="C3410" s="1"/>
      <c r="I3410" s="3"/>
      <c r="J3410" s="3"/>
      <c r="K3410" s="3"/>
      <c r="L3410" s="3"/>
    </row>
    <row r="3411" spans="2:12" x14ac:dyDescent="0.3">
      <c r="B3411" s="1"/>
      <c r="C3411" s="1"/>
      <c r="I3411" s="3"/>
      <c r="J3411" s="3"/>
      <c r="K3411" s="3"/>
      <c r="L3411" s="3"/>
    </row>
    <row r="3412" spans="2:12" x14ac:dyDescent="0.3">
      <c r="B3412" s="1"/>
      <c r="C3412" s="1"/>
      <c r="I3412" s="3"/>
      <c r="J3412" s="3"/>
      <c r="K3412" s="3"/>
      <c r="L3412" s="3"/>
    </row>
    <row r="3413" spans="2:12" x14ac:dyDescent="0.3">
      <c r="B3413" s="1"/>
      <c r="C3413" s="1"/>
      <c r="I3413" s="3"/>
      <c r="J3413" s="3"/>
      <c r="K3413" s="3"/>
      <c r="L3413" s="3"/>
    </row>
    <row r="3414" spans="2:12" x14ac:dyDescent="0.3">
      <c r="B3414" s="1"/>
      <c r="C3414" s="1"/>
      <c r="I3414" s="3"/>
      <c r="J3414" s="3"/>
      <c r="K3414" s="3"/>
      <c r="L3414" s="3"/>
    </row>
    <row r="3415" spans="2:12" x14ac:dyDescent="0.3">
      <c r="B3415" s="1"/>
      <c r="C3415" s="1"/>
      <c r="I3415" s="3"/>
      <c r="J3415" s="3"/>
      <c r="K3415" s="3"/>
      <c r="L3415" s="3"/>
    </row>
    <row r="3416" spans="2:12" x14ac:dyDescent="0.3">
      <c r="B3416" s="1"/>
      <c r="C3416" s="1"/>
      <c r="I3416" s="3"/>
      <c r="J3416" s="3"/>
      <c r="K3416" s="3"/>
      <c r="L3416" s="3"/>
    </row>
    <row r="3417" spans="2:12" x14ac:dyDescent="0.3">
      <c r="B3417" s="1"/>
      <c r="C3417" s="1"/>
      <c r="I3417" s="3"/>
      <c r="J3417" s="3"/>
      <c r="K3417" s="3"/>
      <c r="L3417" s="3"/>
    </row>
    <row r="3418" spans="2:12" x14ac:dyDescent="0.3">
      <c r="B3418" s="1"/>
      <c r="C3418" s="1"/>
      <c r="I3418" s="3"/>
      <c r="J3418" s="3"/>
      <c r="K3418" s="3"/>
      <c r="L3418" s="3"/>
    </row>
    <row r="3419" spans="2:12" x14ac:dyDescent="0.3">
      <c r="B3419" s="1"/>
      <c r="C3419" s="1"/>
      <c r="I3419" s="3"/>
      <c r="J3419" s="3"/>
      <c r="K3419" s="3"/>
      <c r="L3419" s="3"/>
    </row>
    <row r="3420" spans="2:12" x14ac:dyDescent="0.3">
      <c r="B3420" s="1"/>
      <c r="C3420" s="1"/>
      <c r="I3420" s="3"/>
      <c r="J3420" s="3"/>
      <c r="K3420" s="3"/>
      <c r="L3420" s="3"/>
    </row>
    <row r="3421" spans="2:12" x14ac:dyDescent="0.3">
      <c r="B3421" s="1"/>
      <c r="C3421" s="1"/>
      <c r="I3421" s="3"/>
      <c r="J3421" s="3"/>
      <c r="K3421" s="3"/>
      <c r="L3421" s="3"/>
    </row>
    <row r="3422" spans="2:12" x14ac:dyDescent="0.3">
      <c r="B3422" s="1"/>
      <c r="C3422" s="1"/>
      <c r="I3422" s="3"/>
      <c r="J3422" s="3"/>
      <c r="K3422" s="3"/>
      <c r="L3422" s="3"/>
    </row>
    <row r="3423" spans="2:12" x14ac:dyDescent="0.3">
      <c r="B3423" s="1"/>
      <c r="C3423" s="1"/>
      <c r="I3423" s="3"/>
      <c r="J3423" s="3"/>
      <c r="K3423" s="3"/>
      <c r="L3423" s="3"/>
    </row>
    <row r="3424" spans="2:12" x14ac:dyDescent="0.3">
      <c r="B3424" s="1"/>
      <c r="C3424" s="1"/>
      <c r="I3424" s="3"/>
      <c r="J3424" s="3"/>
      <c r="K3424" s="3"/>
      <c r="L3424" s="3"/>
    </row>
    <row r="3425" spans="2:12" x14ac:dyDescent="0.3">
      <c r="B3425" s="1"/>
      <c r="C3425" s="1"/>
      <c r="I3425" s="3"/>
      <c r="J3425" s="3"/>
      <c r="K3425" s="3"/>
      <c r="L3425" s="3"/>
    </row>
    <row r="3426" spans="2:12" x14ac:dyDescent="0.3">
      <c r="B3426" s="1"/>
      <c r="C3426" s="1"/>
      <c r="I3426" s="3"/>
      <c r="J3426" s="3"/>
      <c r="K3426" s="3"/>
      <c r="L3426" s="3"/>
    </row>
    <row r="3427" spans="2:12" x14ac:dyDescent="0.3">
      <c r="B3427" s="1"/>
      <c r="C3427" s="1"/>
      <c r="I3427" s="3"/>
      <c r="J3427" s="3"/>
      <c r="K3427" s="3"/>
      <c r="L3427" s="3"/>
    </row>
    <row r="3428" spans="2:12" x14ac:dyDescent="0.3">
      <c r="B3428" s="1"/>
      <c r="C3428" s="1"/>
      <c r="I3428" s="3"/>
      <c r="J3428" s="3"/>
      <c r="K3428" s="3"/>
      <c r="L3428" s="3"/>
    </row>
    <row r="3429" spans="2:12" x14ac:dyDescent="0.3">
      <c r="B3429" s="1"/>
      <c r="C3429" s="1"/>
      <c r="I3429" s="3"/>
      <c r="J3429" s="3"/>
      <c r="K3429" s="3"/>
      <c r="L3429" s="3"/>
    </row>
    <row r="3430" spans="2:12" x14ac:dyDescent="0.3">
      <c r="B3430" s="1"/>
      <c r="C3430" s="1"/>
      <c r="I3430" s="3"/>
      <c r="J3430" s="3"/>
      <c r="K3430" s="3"/>
      <c r="L3430" s="3"/>
    </row>
    <row r="3431" spans="2:12" x14ac:dyDescent="0.3">
      <c r="B3431" s="1"/>
      <c r="C3431" s="1"/>
      <c r="I3431" s="3"/>
      <c r="J3431" s="3"/>
      <c r="K3431" s="3"/>
      <c r="L3431" s="3"/>
    </row>
    <row r="3432" spans="2:12" x14ac:dyDescent="0.3">
      <c r="B3432" s="1"/>
      <c r="C3432" s="1"/>
      <c r="I3432" s="3"/>
      <c r="J3432" s="3"/>
      <c r="K3432" s="3"/>
      <c r="L3432" s="3"/>
    </row>
    <row r="3433" spans="2:12" x14ac:dyDescent="0.3">
      <c r="B3433" s="1"/>
      <c r="C3433" s="1"/>
      <c r="I3433" s="3"/>
      <c r="J3433" s="3"/>
      <c r="K3433" s="3"/>
      <c r="L3433" s="3"/>
    </row>
    <row r="3434" spans="2:12" x14ac:dyDescent="0.3">
      <c r="B3434" s="1"/>
      <c r="C3434" s="1"/>
      <c r="I3434" s="3"/>
      <c r="J3434" s="3"/>
      <c r="K3434" s="3"/>
      <c r="L3434" s="3"/>
    </row>
    <row r="3435" spans="2:12" x14ac:dyDescent="0.3">
      <c r="B3435" s="1"/>
      <c r="C3435" s="1"/>
      <c r="I3435" s="3"/>
      <c r="J3435" s="3"/>
      <c r="K3435" s="3"/>
      <c r="L3435" s="3"/>
    </row>
    <row r="3436" spans="2:12" x14ac:dyDescent="0.3">
      <c r="B3436" s="1"/>
      <c r="C3436" s="1"/>
      <c r="I3436" s="3"/>
      <c r="J3436" s="3"/>
      <c r="K3436" s="3"/>
      <c r="L3436" s="3"/>
    </row>
    <row r="3437" spans="2:12" x14ac:dyDescent="0.3">
      <c r="B3437" s="1"/>
      <c r="C3437" s="1"/>
      <c r="I3437" s="3"/>
      <c r="J3437" s="3"/>
      <c r="K3437" s="3"/>
      <c r="L3437" s="3"/>
    </row>
    <row r="3438" spans="2:12" x14ac:dyDescent="0.3">
      <c r="B3438" s="1"/>
      <c r="C3438" s="1"/>
      <c r="I3438" s="3"/>
      <c r="J3438" s="3"/>
      <c r="K3438" s="3"/>
      <c r="L3438" s="3"/>
    </row>
    <row r="3439" spans="2:12" x14ac:dyDescent="0.3">
      <c r="B3439" s="1"/>
      <c r="C3439" s="1"/>
      <c r="I3439" s="3"/>
      <c r="J3439" s="3"/>
      <c r="K3439" s="3"/>
      <c r="L3439" s="3"/>
    </row>
    <row r="3440" spans="2:12" x14ac:dyDescent="0.3">
      <c r="B3440" s="1"/>
      <c r="C3440" s="1"/>
      <c r="I3440" s="3"/>
      <c r="J3440" s="3"/>
      <c r="K3440" s="3"/>
      <c r="L3440" s="3"/>
    </row>
    <row r="3441" spans="2:12" x14ac:dyDescent="0.3">
      <c r="B3441" s="1"/>
      <c r="C3441" s="1"/>
      <c r="I3441" s="3"/>
      <c r="J3441" s="3"/>
      <c r="K3441" s="3"/>
      <c r="L3441" s="3"/>
    </row>
    <row r="3442" spans="2:12" x14ac:dyDescent="0.3">
      <c r="B3442" s="1"/>
      <c r="C3442" s="1"/>
      <c r="I3442" s="3"/>
      <c r="J3442" s="3"/>
      <c r="K3442" s="3"/>
      <c r="L3442" s="3"/>
    </row>
    <row r="3443" spans="2:12" x14ac:dyDescent="0.3">
      <c r="B3443" s="1"/>
      <c r="C3443" s="1"/>
      <c r="I3443" s="3"/>
      <c r="J3443" s="3"/>
      <c r="K3443" s="3"/>
      <c r="L3443" s="3"/>
    </row>
    <row r="3444" spans="2:12" x14ac:dyDescent="0.3">
      <c r="B3444" s="1"/>
      <c r="C3444" s="1"/>
      <c r="I3444" s="3"/>
      <c r="J3444" s="3"/>
      <c r="K3444" s="3"/>
      <c r="L3444" s="3"/>
    </row>
    <row r="3445" spans="2:12" x14ac:dyDescent="0.3">
      <c r="B3445" s="1"/>
      <c r="C3445" s="1"/>
      <c r="I3445" s="3"/>
      <c r="J3445" s="3"/>
      <c r="K3445" s="3"/>
      <c r="L3445" s="3"/>
    </row>
    <row r="3446" spans="2:12" x14ac:dyDescent="0.3">
      <c r="B3446" s="1"/>
      <c r="C3446" s="1"/>
      <c r="I3446" s="3"/>
      <c r="J3446" s="3"/>
      <c r="K3446" s="3"/>
      <c r="L3446" s="3"/>
    </row>
    <row r="3447" spans="2:12" x14ac:dyDescent="0.3">
      <c r="B3447" s="1"/>
      <c r="C3447" s="1"/>
      <c r="I3447" s="3"/>
      <c r="J3447" s="3"/>
      <c r="K3447" s="3"/>
      <c r="L3447" s="3"/>
    </row>
    <row r="3448" spans="2:12" x14ac:dyDescent="0.3">
      <c r="B3448" s="1"/>
      <c r="C3448" s="1"/>
      <c r="I3448" s="3"/>
      <c r="J3448" s="3"/>
      <c r="K3448" s="3"/>
      <c r="L3448" s="3"/>
    </row>
    <row r="3449" spans="2:12" x14ac:dyDescent="0.3">
      <c r="B3449" s="1"/>
      <c r="C3449" s="1"/>
      <c r="I3449" s="3"/>
      <c r="J3449" s="3"/>
      <c r="K3449" s="3"/>
      <c r="L3449" s="3"/>
    </row>
    <row r="3450" spans="2:12" x14ac:dyDescent="0.3">
      <c r="B3450" s="1"/>
      <c r="C3450" s="1"/>
      <c r="I3450" s="3"/>
      <c r="J3450" s="3"/>
      <c r="K3450" s="3"/>
      <c r="L3450" s="3"/>
    </row>
    <row r="3451" spans="2:12" x14ac:dyDescent="0.3">
      <c r="B3451" s="1"/>
      <c r="C3451" s="1"/>
      <c r="I3451" s="3"/>
      <c r="J3451" s="3"/>
      <c r="K3451" s="3"/>
      <c r="L3451" s="3"/>
    </row>
    <row r="3452" spans="2:12" x14ac:dyDescent="0.3">
      <c r="B3452" s="1"/>
      <c r="C3452" s="1"/>
      <c r="I3452" s="3"/>
      <c r="J3452" s="3"/>
      <c r="K3452" s="3"/>
      <c r="L3452" s="3"/>
    </row>
    <row r="3453" spans="2:12" x14ac:dyDescent="0.3">
      <c r="B3453" s="1"/>
      <c r="C3453" s="1"/>
      <c r="I3453" s="3"/>
      <c r="J3453" s="3"/>
      <c r="K3453" s="3"/>
      <c r="L3453" s="3"/>
    </row>
    <row r="3454" spans="2:12" x14ac:dyDescent="0.3">
      <c r="B3454" s="1"/>
      <c r="C3454" s="1"/>
      <c r="I3454" s="3"/>
      <c r="J3454" s="3"/>
      <c r="K3454" s="3"/>
      <c r="L3454" s="3"/>
    </row>
    <row r="3455" spans="2:12" x14ac:dyDescent="0.3">
      <c r="B3455" s="1"/>
      <c r="C3455" s="1"/>
      <c r="I3455" s="3"/>
      <c r="J3455" s="3"/>
      <c r="K3455" s="3"/>
      <c r="L3455" s="3"/>
    </row>
    <row r="3456" spans="2:12" x14ac:dyDescent="0.3">
      <c r="B3456" s="1"/>
      <c r="C3456" s="1"/>
      <c r="I3456" s="3"/>
      <c r="J3456" s="3"/>
      <c r="K3456" s="3"/>
      <c r="L3456" s="3"/>
    </row>
    <row r="3457" spans="2:12" x14ac:dyDescent="0.3">
      <c r="B3457" s="1"/>
      <c r="C3457" s="1"/>
      <c r="I3457" s="3"/>
      <c r="J3457" s="3"/>
      <c r="K3457" s="3"/>
      <c r="L3457" s="3"/>
    </row>
    <row r="3458" spans="2:12" x14ac:dyDescent="0.3">
      <c r="B3458" s="1"/>
      <c r="C3458" s="1"/>
      <c r="I3458" s="3"/>
      <c r="J3458" s="3"/>
      <c r="K3458" s="3"/>
      <c r="L3458" s="3"/>
    </row>
    <row r="3459" spans="2:12" x14ac:dyDescent="0.3">
      <c r="B3459" s="1"/>
      <c r="C3459" s="1"/>
      <c r="I3459" s="3"/>
      <c r="J3459" s="3"/>
      <c r="K3459" s="3"/>
      <c r="L3459" s="3"/>
    </row>
    <row r="3460" spans="2:12" x14ac:dyDescent="0.3">
      <c r="B3460" s="1"/>
      <c r="C3460" s="1"/>
      <c r="I3460" s="3"/>
      <c r="J3460" s="3"/>
      <c r="K3460" s="3"/>
      <c r="L3460" s="3"/>
    </row>
    <row r="3461" spans="2:12" x14ac:dyDescent="0.3">
      <c r="B3461" s="1"/>
      <c r="C3461" s="1"/>
      <c r="I3461" s="3"/>
      <c r="J3461" s="3"/>
      <c r="K3461" s="3"/>
      <c r="L3461" s="3"/>
    </row>
    <row r="3462" spans="2:12" x14ac:dyDescent="0.3">
      <c r="B3462" s="1"/>
      <c r="C3462" s="1"/>
      <c r="I3462" s="3"/>
      <c r="J3462" s="3"/>
      <c r="K3462" s="3"/>
      <c r="L3462" s="3"/>
    </row>
    <row r="3463" spans="2:12" x14ac:dyDescent="0.3">
      <c r="B3463" s="1"/>
      <c r="C3463" s="1"/>
      <c r="I3463" s="3"/>
      <c r="J3463" s="3"/>
      <c r="K3463" s="3"/>
      <c r="L3463" s="3"/>
    </row>
    <row r="3464" spans="2:12" x14ac:dyDescent="0.3">
      <c r="B3464" s="1"/>
      <c r="C3464" s="1"/>
      <c r="I3464" s="3"/>
      <c r="J3464" s="3"/>
      <c r="K3464" s="3"/>
      <c r="L3464" s="3"/>
    </row>
    <row r="3465" spans="2:12" x14ac:dyDescent="0.3">
      <c r="B3465" s="1"/>
      <c r="C3465" s="1"/>
      <c r="I3465" s="3"/>
      <c r="J3465" s="3"/>
      <c r="K3465" s="3"/>
      <c r="L3465" s="3"/>
    </row>
    <row r="3466" spans="2:12" x14ac:dyDescent="0.3">
      <c r="B3466" s="1"/>
      <c r="C3466" s="1"/>
      <c r="I3466" s="3"/>
      <c r="J3466" s="3"/>
      <c r="K3466" s="3"/>
      <c r="L3466" s="3"/>
    </row>
    <row r="3467" spans="2:12" x14ac:dyDescent="0.3">
      <c r="B3467" s="1"/>
      <c r="C3467" s="1"/>
      <c r="I3467" s="3"/>
      <c r="J3467" s="3"/>
      <c r="K3467" s="3"/>
      <c r="L3467" s="3"/>
    </row>
    <row r="3468" spans="2:12" x14ac:dyDescent="0.3">
      <c r="B3468" s="1"/>
      <c r="C3468" s="1"/>
      <c r="I3468" s="3"/>
      <c r="J3468" s="3"/>
      <c r="K3468" s="3"/>
      <c r="L3468" s="3"/>
    </row>
    <row r="3469" spans="2:12" x14ac:dyDescent="0.3">
      <c r="B3469" s="1"/>
      <c r="C3469" s="1"/>
      <c r="I3469" s="3"/>
      <c r="J3469" s="3"/>
      <c r="K3469" s="3"/>
      <c r="L3469" s="3"/>
    </row>
    <row r="3470" spans="2:12" x14ac:dyDescent="0.3">
      <c r="B3470" s="1"/>
      <c r="C3470" s="1"/>
      <c r="I3470" s="3"/>
      <c r="J3470" s="3"/>
      <c r="K3470" s="3"/>
      <c r="L3470" s="3"/>
    </row>
    <row r="3471" spans="2:12" x14ac:dyDescent="0.3">
      <c r="B3471" s="1"/>
      <c r="C3471" s="1"/>
      <c r="I3471" s="3"/>
      <c r="J3471" s="3"/>
      <c r="K3471" s="3"/>
      <c r="L3471" s="3"/>
    </row>
    <row r="3472" spans="2:12" x14ac:dyDescent="0.3">
      <c r="B3472" s="1"/>
      <c r="C3472" s="1"/>
      <c r="I3472" s="3"/>
      <c r="J3472" s="3"/>
      <c r="K3472" s="3"/>
      <c r="L3472" s="3"/>
    </row>
    <row r="3473" spans="2:12" x14ac:dyDescent="0.3">
      <c r="B3473" s="1"/>
      <c r="C3473" s="1"/>
      <c r="I3473" s="3"/>
      <c r="J3473" s="3"/>
      <c r="K3473" s="3"/>
      <c r="L3473" s="3"/>
    </row>
    <row r="3474" spans="2:12" x14ac:dyDescent="0.3">
      <c r="B3474" s="1"/>
      <c r="C3474" s="1"/>
      <c r="I3474" s="3"/>
      <c r="J3474" s="3"/>
      <c r="K3474" s="3"/>
      <c r="L3474" s="3"/>
    </row>
    <row r="3475" spans="2:12" x14ac:dyDescent="0.3">
      <c r="B3475" s="1"/>
      <c r="C3475" s="1"/>
      <c r="I3475" s="3"/>
      <c r="J3475" s="3"/>
      <c r="K3475" s="3"/>
      <c r="L3475" s="3"/>
    </row>
    <row r="3476" spans="2:12" x14ac:dyDescent="0.3">
      <c r="B3476" s="1"/>
      <c r="C3476" s="1"/>
      <c r="I3476" s="3"/>
      <c r="J3476" s="3"/>
      <c r="K3476" s="3"/>
      <c r="L3476" s="3"/>
    </row>
    <row r="3477" spans="2:12" x14ac:dyDescent="0.3">
      <c r="B3477" s="1"/>
      <c r="C3477" s="1"/>
      <c r="I3477" s="3"/>
      <c r="J3477" s="3"/>
      <c r="K3477" s="3"/>
      <c r="L3477" s="3"/>
    </row>
    <row r="3478" spans="2:12" x14ac:dyDescent="0.3">
      <c r="B3478" s="1"/>
      <c r="C3478" s="1"/>
      <c r="I3478" s="3"/>
      <c r="J3478" s="3"/>
      <c r="K3478" s="3"/>
      <c r="L3478" s="3"/>
    </row>
    <row r="3479" spans="2:12" x14ac:dyDescent="0.3">
      <c r="B3479" s="1"/>
      <c r="C3479" s="1"/>
      <c r="I3479" s="3"/>
      <c r="J3479" s="3"/>
      <c r="K3479" s="3"/>
      <c r="L3479" s="3"/>
    </row>
    <row r="3480" spans="2:12" x14ac:dyDescent="0.3">
      <c r="B3480" s="1"/>
      <c r="C3480" s="1"/>
      <c r="I3480" s="3"/>
      <c r="J3480" s="3"/>
      <c r="K3480" s="3"/>
      <c r="L3480" s="3"/>
    </row>
    <row r="3481" spans="2:12" x14ac:dyDescent="0.3">
      <c r="B3481" s="1"/>
      <c r="C3481" s="1"/>
      <c r="I3481" s="3"/>
      <c r="J3481" s="3"/>
      <c r="K3481" s="3"/>
      <c r="L3481" s="3"/>
    </row>
    <row r="3482" spans="2:12" x14ac:dyDescent="0.3">
      <c r="B3482" s="1"/>
      <c r="C3482" s="1"/>
      <c r="I3482" s="3"/>
      <c r="J3482" s="3"/>
      <c r="K3482" s="3"/>
      <c r="L3482" s="3"/>
    </row>
    <row r="3483" spans="2:12" x14ac:dyDescent="0.3">
      <c r="B3483" s="1"/>
      <c r="C3483" s="1"/>
      <c r="I3483" s="3"/>
      <c r="J3483" s="3"/>
      <c r="K3483" s="3"/>
      <c r="L3483" s="3"/>
    </row>
    <row r="3484" spans="2:12" x14ac:dyDescent="0.3">
      <c r="B3484" s="1"/>
      <c r="C3484" s="1"/>
      <c r="I3484" s="3"/>
      <c r="J3484" s="3"/>
      <c r="K3484" s="3"/>
      <c r="L3484" s="3"/>
    </row>
    <row r="3485" spans="2:12" x14ac:dyDescent="0.3">
      <c r="B3485" s="1"/>
      <c r="C3485" s="1"/>
      <c r="I3485" s="3"/>
      <c r="J3485" s="3"/>
      <c r="K3485" s="3"/>
      <c r="L3485" s="3"/>
    </row>
    <row r="3486" spans="2:12" x14ac:dyDescent="0.3">
      <c r="B3486" s="1"/>
      <c r="C3486" s="1"/>
      <c r="I3486" s="3"/>
      <c r="J3486" s="3"/>
      <c r="K3486" s="3"/>
      <c r="L3486" s="3"/>
    </row>
    <row r="3487" spans="2:12" x14ac:dyDescent="0.3">
      <c r="B3487" s="1"/>
      <c r="C3487" s="1"/>
      <c r="I3487" s="3"/>
      <c r="J3487" s="3"/>
      <c r="K3487" s="3"/>
      <c r="L3487" s="3"/>
    </row>
    <row r="3488" spans="2:12" x14ac:dyDescent="0.3">
      <c r="B3488" s="1"/>
      <c r="C3488" s="1"/>
      <c r="I3488" s="3"/>
      <c r="J3488" s="3"/>
      <c r="K3488" s="3"/>
      <c r="L3488" s="3"/>
    </row>
    <row r="3489" spans="2:12" x14ac:dyDescent="0.3">
      <c r="B3489" s="1"/>
      <c r="C3489" s="1"/>
      <c r="I3489" s="3"/>
      <c r="J3489" s="3"/>
      <c r="K3489" s="3"/>
      <c r="L3489" s="3"/>
    </row>
    <row r="3490" spans="2:12" x14ac:dyDescent="0.3">
      <c r="B3490" s="1"/>
      <c r="C3490" s="1"/>
      <c r="I3490" s="3"/>
      <c r="J3490" s="3"/>
      <c r="K3490" s="3"/>
      <c r="L3490" s="3"/>
    </row>
    <row r="3491" spans="2:12" x14ac:dyDescent="0.3">
      <c r="B3491" s="1"/>
      <c r="C3491" s="1"/>
      <c r="I3491" s="3"/>
      <c r="J3491" s="3"/>
      <c r="K3491" s="3"/>
      <c r="L3491" s="3"/>
    </row>
    <row r="3492" spans="2:12" x14ac:dyDescent="0.3">
      <c r="B3492" s="1"/>
      <c r="C3492" s="1"/>
      <c r="I3492" s="3"/>
      <c r="J3492" s="3"/>
      <c r="K3492" s="3"/>
      <c r="L3492" s="3"/>
    </row>
    <row r="3493" spans="2:12" x14ac:dyDescent="0.3">
      <c r="B3493" s="1"/>
      <c r="C3493" s="1"/>
      <c r="I3493" s="3"/>
      <c r="J3493" s="3"/>
      <c r="K3493" s="3"/>
      <c r="L3493" s="3"/>
    </row>
    <row r="3494" spans="2:12" x14ac:dyDescent="0.3">
      <c r="B3494" s="1"/>
      <c r="C3494" s="1"/>
      <c r="I3494" s="3"/>
      <c r="J3494" s="3"/>
      <c r="K3494" s="3"/>
      <c r="L3494" s="3"/>
    </row>
    <row r="3495" spans="2:12" x14ac:dyDescent="0.3">
      <c r="B3495" s="1"/>
      <c r="C3495" s="1"/>
      <c r="I3495" s="3"/>
      <c r="J3495" s="3"/>
      <c r="K3495" s="3"/>
      <c r="L3495" s="3"/>
    </row>
    <row r="3496" spans="2:12" x14ac:dyDescent="0.3">
      <c r="B3496" s="1"/>
      <c r="C3496" s="1"/>
      <c r="I3496" s="3"/>
      <c r="J3496" s="3"/>
      <c r="K3496" s="3"/>
      <c r="L3496" s="3"/>
    </row>
    <row r="3497" spans="2:12" x14ac:dyDescent="0.3">
      <c r="B3497" s="1"/>
      <c r="C3497" s="1"/>
      <c r="I3497" s="3"/>
      <c r="J3497" s="3"/>
      <c r="K3497" s="3"/>
      <c r="L3497" s="3"/>
    </row>
    <row r="3498" spans="2:12" x14ac:dyDescent="0.3">
      <c r="B3498" s="1"/>
      <c r="C3498" s="1"/>
      <c r="I3498" s="3"/>
      <c r="J3498" s="3"/>
      <c r="K3498" s="3"/>
      <c r="L3498" s="3"/>
    </row>
    <row r="3499" spans="2:12" x14ac:dyDescent="0.3">
      <c r="B3499" s="1"/>
      <c r="C3499" s="1"/>
      <c r="I3499" s="3"/>
      <c r="J3499" s="3"/>
      <c r="K3499" s="3"/>
      <c r="L3499" s="3"/>
    </row>
    <row r="3500" spans="2:12" x14ac:dyDescent="0.3">
      <c r="B3500" s="1"/>
      <c r="C3500" s="1"/>
      <c r="I3500" s="3"/>
      <c r="J3500" s="3"/>
      <c r="K3500" s="3"/>
      <c r="L3500" s="3"/>
    </row>
    <row r="3501" spans="2:12" x14ac:dyDescent="0.3">
      <c r="B3501" s="1"/>
      <c r="C3501" s="1"/>
      <c r="I3501" s="3"/>
      <c r="J3501" s="3"/>
      <c r="K3501" s="3"/>
      <c r="L3501" s="3"/>
    </row>
    <row r="3502" spans="2:12" x14ac:dyDescent="0.3">
      <c r="B3502" s="1"/>
      <c r="C3502" s="1"/>
      <c r="I3502" s="3"/>
      <c r="J3502" s="3"/>
      <c r="K3502" s="3"/>
      <c r="L3502" s="3"/>
    </row>
    <row r="3503" spans="2:12" x14ac:dyDescent="0.3">
      <c r="B3503" s="1"/>
      <c r="C3503" s="1"/>
      <c r="I3503" s="3"/>
      <c r="J3503" s="3"/>
      <c r="K3503" s="3"/>
      <c r="L3503" s="3"/>
    </row>
    <row r="3504" spans="2:12" x14ac:dyDescent="0.3">
      <c r="B3504" s="1"/>
      <c r="C3504" s="1"/>
      <c r="I3504" s="3"/>
      <c r="J3504" s="3"/>
      <c r="K3504" s="3"/>
      <c r="L3504" s="3"/>
    </row>
    <row r="3505" spans="2:12" x14ac:dyDescent="0.3">
      <c r="B3505" s="1"/>
      <c r="C3505" s="1"/>
      <c r="I3505" s="3"/>
      <c r="J3505" s="3"/>
      <c r="K3505" s="3"/>
      <c r="L3505" s="3"/>
    </row>
    <row r="3506" spans="2:12" x14ac:dyDescent="0.3">
      <c r="B3506" s="1"/>
      <c r="C3506" s="1"/>
      <c r="I3506" s="3"/>
      <c r="J3506" s="3"/>
      <c r="K3506" s="3"/>
      <c r="L3506" s="3"/>
    </row>
    <row r="3507" spans="2:12" x14ac:dyDescent="0.3">
      <c r="B3507" s="1"/>
      <c r="C3507" s="1"/>
      <c r="I3507" s="3"/>
      <c r="J3507" s="3"/>
      <c r="K3507" s="3"/>
      <c r="L3507" s="3"/>
    </row>
    <row r="3508" spans="2:12" x14ac:dyDescent="0.3">
      <c r="B3508" s="1"/>
      <c r="C3508" s="1"/>
      <c r="I3508" s="3"/>
      <c r="J3508" s="3"/>
      <c r="K3508" s="3"/>
      <c r="L3508" s="3"/>
    </row>
    <row r="3509" spans="2:12" x14ac:dyDescent="0.3">
      <c r="B3509" s="1"/>
      <c r="C3509" s="1"/>
      <c r="I3509" s="3"/>
      <c r="J3509" s="3"/>
      <c r="K3509" s="3"/>
      <c r="L3509" s="3"/>
    </row>
    <row r="3510" spans="2:12" x14ac:dyDescent="0.3">
      <c r="B3510" s="1"/>
      <c r="C3510" s="1"/>
      <c r="I3510" s="3"/>
      <c r="J3510" s="3"/>
      <c r="K3510" s="3"/>
      <c r="L3510" s="3"/>
    </row>
    <row r="3511" spans="2:12" x14ac:dyDescent="0.3">
      <c r="B3511" s="1"/>
      <c r="C3511" s="1"/>
      <c r="I3511" s="3"/>
      <c r="J3511" s="3"/>
      <c r="K3511" s="3"/>
      <c r="L3511" s="3"/>
    </row>
    <row r="3512" spans="2:12" x14ac:dyDescent="0.3">
      <c r="B3512" s="1"/>
      <c r="C3512" s="1"/>
      <c r="I3512" s="3"/>
      <c r="J3512" s="3"/>
      <c r="K3512" s="3"/>
      <c r="L3512" s="3"/>
    </row>
    <row r="3513" spans="2:12" x14ac:dyDescent="0.3">
      <c r="B3513" s="1"/>
      <c r="C3513" s="1"/>
      <c r="I3513" s="3"/>
      <c r="J3513" s="3"/>
      <c r="K3513" s="3"/>
      <c r="L3513" s="3"/>
    </row>
    <row r="3514" spans="2:12" x14ac:dyDescent="0.3">
      <c r="B3514" s="1"/>
      <c r="C3514" s="1"/>
      <c r="I3514" s="3"/>
      <c r="J3514" s="3"/>
      <c r="K3514" s="3"/>
      <c r="L3514" s="3"/>
    </row>
    <row r="3515" spans="2:12" x14ac:dyDescent="0.3">
      <c r="B3515" s="1"/>
      <c r="C3515" s="1"/>
      <c r="I3515" s="3"/>
      <c r="J3515" s="3"/>
      <c r="K3515" s="3"/>
      <c r="L3515" s="3"/>
    </row>
    <row r="3516" spans="2:12" x14ac:dyDescent="0.3">
      <c r="B3516" s="1"/>
      <c r="C3516" s="1"/>
      <c r="I3516" s="3"/>
      <c r="J3516" s="3"/>
      <c r="K3516" s="3"/>
      <c r="L3516" s="3"/>
    </row>
    <row r="3517" spans="2:12" x14ac:dyDescent="0.3">
      <c r="B3517" s="1"/>
      <c r="C3517" s="1"/>
      <c r="I3517" s="3"/>
      <c r="J3517" s="3"/>
      <c r="K3517" s="3"/>
      <c r="L3517" s="3"/>
    </row>
    <row r="3518" spans="2:12" x14ac:dyDescent="0.3">
      <c r="B3518" s="1"/>
      <c r="C3518" s="1"/>
      <c r="I3518" s="3"/>
      <c r="J3518" s="3"/>
      <c r="K3518" s="3"/>
      <c r="L3518" s="3"/>
    </row>
    <row r="3519" spans="2:12" x14ac:dyDescent="0.3">
      <c r="B3519" s="1"/>
      <c r="C3519" s="1"/>
      <c r="I3519" s="3"/>
      <c r="J3519" s="3"/>
      <c r="K3519" s="3"/>
      <c r="L3519" s="3"/>
    </row>
    <row r="3520" spans="2:12" x14ac:dyDescent="0.3">
      <c r="B3520" s="1"/>
      <c r="C3520" s="1"/>
      <c r="I3520" s="3"/>
      <c r="J3520" s="3"/>
      <c r="K3520" s="3"/>
      <c r="L3520" s="3"/>
    </row>
    <row r="3521" spans="2:12" x14ac:dyDescent="0.3">
      <c r="B3521" s="1"/>
      <c r="C3521" s="1"/>
      <c r="I3521" s="3"/>
      <c r="J3521" s="3"/>
      <c r="K3521" s="3"/>
      <c r="L3521" s="3"/>
    </row>
    <row r="3522" spans="2:12" x14ac:dyDescent="0.3">
      <c r="B3522" s="1"/>
      <c r="C3522" s="1"/>
      <c r="I3522" s="3"/>
      <c r="J3522" s="3"/>
      <c r="K3522" s="3"/>
      <c r="L3522" s="3"/>
    </row>
    <row r="3523" spans="2:12" x14ac:dyDescent="0.3">
      <c r="B3523" s="1"/>
      <c r="C3523" s="1"/>
      <c r="I3523" s="3"/>
      <c r="J3523" s="3"/>
      <c r="K3523" s="3"/>
      <c r="L3523" s="3"/>
    </row>
    <row r="3524" spans="2:12" x14ac:dyDescent="0.3">
      <c r="B3524" s="1"/>
      <c r="C3524" s="1"/>
      <c r="I3524" s="3"/>
      <c r="J3524" s="3"/>
      <c r="K3524" s="3"/>
      <c r="L3524" s="3"/>
    </row>
    <row r="3525" spans="2:12" x14ac:dyDescent="0.3">
      <c r="B3525" s="1"/>
      <c r="C3525" s="1"/>
      <c r="I3525" s="3"/>
      <c r="J3525" s="3"/>
      <c r="K3525" s="3"/>
      <c r="L3525" s="3"/>
    </row>
    <row r="3526" spans="2:12" x14ac:dyDescent="0.3">
      <c r="B3526" s="1"/>
      <c r="C3526" s="1"/>
      <c r="I3526" s="3"/>
      <c r="J3526" s="3"/>
      <c r="K3526" s="3"/>
      <c r="L3526" s="3"/>
    </row>
    <row r="3527" spans="2:12" x14ac:dyDescent="0.3">
      <c r="B3527" s="1"/>
      <c r="C3527" s="1"/>
      <c r="I3527" s="3"/>
      <c r="J3527" s="3"/>
      <c r="K3527" s="3"/>
      <c r="L3527" s="3"/>
    </row>
    <row r="3528" spans="2:12" x14ac:dyDescent="0.3">
      <c r="B3528" s="1"/>
      <c r="C3528" s="1"/>
      <c r="I3528" s="3"/>
      <c r="J3528" s="3"/>
      <c r="K3528" s="3"/>
      <c r="L3528" s="3"/>
    </row>
    <row r="3529" spans="2:12" x14ac:dyDescent="0.3">
      <c r="B3529" s="1"/>
      <c r="C3529" s="1"/>
      <c r="I3529" s="3"/>
      <c r="J3529" s="3"/>
      <c r="K3529" s="3"/>
      <c r="L3529" s="3"/>
    </row>
    <row r="3530" spans="2:12" x14ac:dyDescent="0.3">
      <c r="B3530" s="1"/>
      <c r="C3530" s="1"/>
      <c r="I3530" s="3"/>
      <c r="J3530" s="3"/>
      <c r="K3530" s="3"/>
      <c r="L3530" s="3"/>
    </row>
    <row r="3531" spans="2:12" x14ac:dyDescent="0.3">
      <c r="B3531" s="1"/>
      <c r="C3531" s="1"/>
      <c r="I3531" s="3"/>
      <c r="J3531" s="3"/>
      <c r="K3531" s="3"/>
      <c r="L3531" s="3"/>
    </row>
    <row r="3532" spans="2:12" x14ac:dyDescent="0.3">
      <c r="B3532" s="1"/>
      <c r="C3532" s="1"/>
      <c r="I3532" s="3"/>
      <c r="J3532" s="3"/>
      <c r="K3532" s="3"/>
      <c r="L3532" s="3"/>
    </row>
    <row r="3533" spans="2:12" x14ac:dyDescent="0.3">
      <c r="B3533" s="1"/>
      <c r="C3533" s="1"/>
      <c r="I3533" s="3"/>
      <c r="J3533" s="3"/>
      <c r="K3533" s="3"/>
      <c r="L3533" s="3"/>
    </row>
    <row r="3534" spans="2:12" x14ac:dyDescent="0.3">
      <c r="B3534" s="1"/>
      <c r="C3534" s="1"/>
      <c r="I3534" s="3"/>
      <c r="J3534" s="3"/>
      <c r="K3534" s="3"/>
      <c r="L3534" s="3"/>
    </row>
    <row r="3535" spans="2:12" x14ac:dyDescent="0.3">
      <c r="B3535" s="1"/>
      <c r="C3535" s="1"/>
      <c r="I3535" s="3"/>
      <c r="J3535" s="3"/>
      <c r="K3535" s="3"/>
      <c r="L3535" s="3"/>
    </row>
    <row r="3536" spans="2:12" x14ac:dyDescent="0.3">
      <c r="B3536" s="1"/>
      <c r="C3536" s="1"/>
      <c r="I3536" s="3"/>
      <c r="J3536" s="3"/>
      <c r="K3536" s="3"/>
      <c r="L3536" s="3"/>
    </row>
    <row r="3537" spans="2:12" x14ac:dyDescent="0.3">
      <c r="B3537" s="1"/>
      <c r="C3537" s="1"/>
      <c r="I3537" s="3"/>
      <c r="J3537" s="3"/>
      <c r="K3537" s="3"/>
      <c r="L3537" s="3"/>
    </row>
    <row r="3538" spans="2:12" x14ac:dyDescent="0.3">
      <c r="B3538" s="1"/>
      <c r="C3538" s="1"/>
      <c r="I3538" s="3"/>
      <c r="J3538" s="3"/>
      <c r="K3538" s="3"/>
      <c r="L3538" s="3"/>
    </row>
    <row r="3539" spans="2:12" x14ac:dyDescent="0.3">
      <c r="B3539" s="1"/>
      <c r="C3539" s="1"/>
      <c r="I3539" s="3"/>
      <c r="J3539" s="3"/>
      <c r="K3539" s="3"/>
      <c r="L3539" s="3"/>
    </row>
    <row r="3540" spans="2:12" x14ac:dyDescent="0.3">
      <c r="B3540" s="1"/>
      <c r="C3540" s="1"/>
      <c r="I3540" s="3"/>
      <c r="J3540" s="3"/>
      <c r="K3540" s="3"/>
      <c r="L3540" s="3"/>
    </row>
    <row r="3541" spans="2:12" x14ac:dyDescent="0.3">
      <c r="B3541" s="1"/>
      <c r="C3541" s="1"/>
      <c r="I3541" s="3"/>
      <c r="J3541" s="3"/>
      <c r="K3541" s="3"/>
      <c r="L3541" s="3"/>
    </row>
    <row r="3542" spans="2:12" x14ac:dyDescent="0.3">
      <c r="B3542" s="1"/>
      <c r="C3542" s="1"/>
      <c r="I3542" s="3"/>
      <c r="J3542" s="3"/>
      <c r="K3542" s="3"/>
      <c r="L3542" s="3"/>
    </row>
    <row r="3543" spans="2:12" x14ac:dyDescent="0.3">
      <c r="B3543" s="1"/>
      <c r="C3543" s="1"/>
      <c r="I3543" s="3"/>
      <c r="J3543" s="3"/>
      <c r="K3543" s="3"/>
      <c r="L3543" s="3"/>
    </row>
    <row r="3544" spans="2:12" x14ac:dyDescent="0.3">
      <c r="B3544" s="1"/>
      <c r="C3544" s="1"/>
      <c r="I3544" s="3"/>
      <c r="J3544" s="3"/>
      <c r="K3544" s="3"/>
      <c r="L3544" s="3"/>
    </row>
    <row r="3545" spans="2:12" x14ac:dyDescent="0.3">
      <c r="B3545" s="1"/>
      <c r="C3545" s="1"/>
      <c r="I3545" s="3"/>
      <c r="J3545" s="3"/>
      <c r="K3545" s="3"/>
      <c r="L3545" s="3"/>
    </row>
    <row r="3546" spans="2:12" x14ac:dyDescent="0.3">
      <c r="B3546" s="1"/>
      <c r="C3546" s="1"/>
      <c r="I3546" s="3"/>
      <c r="J3546" s="3"/>
      <c r="K3546" s="3"/>
      <c r="L3546" s="3"/>
    </row>
    <row r="3547" spans="2:12" x14ac:dyDescent="0.3">
      <c r="B3547" s="1"/>
      <c r="C3547" s="1"/>
      <c r="I3547" s="3"/>
      <c r="J3547" s="3"/>
      <c r="K3547" s="3"/>
      <c r="L3547" s="3"/>
    </row>
    <row r="3548" spans="2:12" x14ac:dyDescent="0.3">
      <c r="B3548" s="1"/>
      <c r="C3548" s="1"/>
      <c r="I3548" s="3"/>
      <c r="J3548" s="3"/>
      <c r="K3548" s="3"/>
      <c r="L3548" s="3"/>
    </row>
    <row r="3549" spans="2:12" x14ac:dyDescent="0.3">
      <c r="B3549" s="1"/>
      <c r="C3549" s="1"/>
      <c r="I3549" s="3"/>
      <c r="J3549" s="3"/>
      <c r="K3549" s="3"/>
      <c r="L3549" s="3"/>
    </row>
    <row r="3550" spans="2:12" x14ac:dyDescent="0.3">
      <c r="B3550" s="1"/>
      <c r="C3550" s="1"/>
      <c r="I3550" s="3"/>
      <c r="J3550" s="3"/>
      <c r="K3550" s="3"/>
      <c r="L3550" s="3"/>
    </row>
    <row r="3551" spans="2:12" x14ac:dyDescent="0.3">
      <c r="B3551" s="1"/>
      <c r="C3551" s="1"/>
      <c r="I3551" s="3"/>
      <c r="J3551" s="3"/>
      <c r="K3551" s="3"/>
      <c r="L3551" s="3"/>
    </row>
    <row r="3552" spans="2:12" x14ac:dyDescent="0.3">
      <c r="B3552" s="1"/>
      <c r="C3552" s="1"/>
      <c r="I3552" s="3"/>
      <c r="J3552" s="3"/>
      <c r="K3552" s="3"/>
      <c r="L3552" s="3"/>
    </row>
    <row r="3553" spans="2:12" x14ac:dyDescent="0.3">
      <c r="B3553" s="1"/>
      <c r="C3553" s="1"/>
      <c r="I3553" s="3"/>
      <c r="J3553" s="3"/>
      <c r="K3553" s="3"/>
      <c r="L3553" s="3"/>
    </row>
    <row r="3554" spans="2:12" x14ac:dyDescent="0.3">
      <c r="B3554" s="1"/>
      <c r="C3554" s="1"/>
      <c r="I3554" s="3"/>
      <c r="J3554" s="3"/>
      <c r="K3554" s="3"/>
      <c r="L3554" s="3"/>
    </row>
    <row r="3555" spans="2:12" x14ac:dyDescent="0.3">
      <c r="B3555" s="1"/>
      <c r="C3555" s="1"/>
      <c r="I3555" s="3"/>
      <c r="J3555" s="3"/>
      <c r="K3555" s="3"/>
      <c r="L3555" s="3"/>
    </row>
    <row r="3556" spans="2:12" x14ac:dyDescent="0.3">
      <c r="B3556" s="1"/>
      <c r="C3556" s="1"/>
      <c r="I3556" s="3"/>
      <c r="J3556" s="3"/>
      <c r="K3556" s="3"/>
      <c r="L3556" s="3"/>
    </row>
    <row r="3557" spans="2:12" x14ac:dyDescent="0.3">
      <c r="B3557" s="1"/>
      <c r="C3557" s="1"/>
      <c r="I3557" s="3"/>
      <c r="J3557" s="3"/>
      <c r="K3557" s="3"/>
      <c r="L3557" s="3"/>
    </row>
    <row r="3558" spans="2:12" x14ac:dyDescent="0.3">
      <c r="B3558" s="1"/>
      <c r="C3558" s="1"/>
      <c r="I3558" s="3"/>
      <c r="J3558" s="3"/>
      <c r="K3558" s="3"/>
      <c r="L3558" s="3"/>
    </row>
    <row r="3559" spans="2:12" x14ac:dyDescent="0.3">
      <c r="B3559" s="1"/>
      <c r="C3559" s="1"/>
      <c r="I3559" s="3"/>
      <c r="J3559" s="3"/>
      <c r="K3559" s="3"/>
      <c r="L3559" s="3"/>
    </row>
    <row r="3560" spans="2:12" x14ac:dyDescent="0.3">
      <c r="B3560" s="1"/>
      <c r="C3560" s="1"/>
      <c r="I3560" s="3"/>
      <c r="J3560" s="3"/>
      <c r="K3560" s="3"/>
      <c r="L3560" s="3"/>
    </row>
    <row r="3561" spans="2:12" x14ac:dyDescent="0.3">
      <c r="B3561" s="1"/>
      <c r="C3561" s="1"/>
      <c r="I3561" s="3"/>
      <c r="J3561" s="3"/>
      <c r="K3561" s="3"/>
      <c r="L3561" s="3"/>
    </row>
    <row r="3562" spans="2:12" x14ac:dyDescent="0.3">
      <c r="B3562" s="1"/>
      <c r="C3562" s="1"/>
      <c r="I3562" s="3"/>
      <c r="J3562" s="3"/>
      <c r="K3562" s="3"/>
      <c r="L3562" s="3"/>
    </row>
    <row r="3563" spans="2:12" x14ac:dyDescent="0.3">
      <c r="B3563" s="1"/>
      <c r="C3563" s="1"/>
      <c r="I3563" s="3"/>
      <c r="J3563" s="3"/>
      <c r="K3563" s="3"/>
      <c r="L3563" s="3"/>
    </row>
    <row r="3564" spans="2:12" x14ac:dyDescent="0.3">
      <c r="B3564" s="1"/>
      <c r="C3564" s="1"/>
      <c r="I3564" s="3"/>
      <c r="J3564" s="3"/>
      <c r="K3564" s="3"/>
      <c r="L3564" s="3"/>
    </row>
    <row r="3565" spans="2:12" x14ac:dyDescent="0.3">
      <c r="B3565" s="1"/>
      <c r="C3565" s="1"/>
      <c r="I3565" s="3"/>
      <c r="J3565" s="3"/>
      <c r="K3565" s="3"/>
      <c r="L3565" s="3"/>
    </row>
    <row r="3566" spans="2:12" x14ac:dyDescent="0.3">
      <c r="B3566" s="1"/>
      <c r="C3566" s="1"/>
      <c r="I3566" s="3"/>
      <c r="J3566" s="3"/>
      <c r="K3566" s="3"/>
      <c r="L3566" s="3"/>
    </row>
    <row r="3567" spans="2:12" x14ac:dyDescent="0.3">
      <c r="B3567" s="1"/>
      <c r="C3567" s="1"/>
      <c r="I3567" s="3"/>
      <c r="J3567" s="3"/>
      <c r="K3567" s="3"/>
      <c r="L3567" s="3"/>
    </row>
    <row r="3568" spans="2:12" x14ac:dyDescent="0.3">
      <c r="B3568" s="1"/>
      <c r="C3568" s="1"/>
      <c r="I3568" s="3"/>
      <c r="J3568" s="3"/>
      <c r="K3568" s="3"/>
      <c r="L3568" s="3"/>
    </row>
    <row r="3569" spans="2:12" x14ac:dyDescent="0.3">
      <c r="B3569" s="1"/>
      <c r="C3569" s="1"/>
      <c r="I3569" s="3"/>
      <c r="J3569" s="3"/>
      <c r="K3569" s="3"/>
      <c r="L3569" s="3"/>
    </row>
    <row r="3570" spans="2:12" x14ac:dyDescent="0.3">
      <c r="B3570" s="1"/>
      <c r="C3570" s="1"/>
      <c r="I3570" s="3"/>
      <c r="J3570" s="3"/>
      <c r="K3570" s="3"/>
      <c r="L3570" s="3"/>
    </row>
    <row r="3571" spans="2:12" x14ac:dyDescent="0.3">
      <c r="B3571" s="1"/>
      <c r="C3571" s="1"/>
      <c r="I3571" s="3"/>
      <c r="J3571" s="3"/>
      <c r="K3571" s="3"/>
      <c r="L3571" s="3"/>
    </row>
    <row r="3572" spans="2:12" x14ac:dyDescent="0.3">
      <c r="B3572" s="1"/>
      <c r="C3572" s="1"/>
      <c r="I3572" s="3"/>
      <c r="J3572" s="3"/>
      <c r="K3572" s="3"/>
      <c r="L3572" s="3"/>
    </row>
    <row r="3573" spans="2:12" x14ac:dyDescent="0.3">
      <c r="B3573" s="1"/>
      <c r="C3573" s="1"/>
      <c r="I3573" s="3"/>
      <c r="J3573" s="3"/>
      <c r="K3573" s="3"/>
      <c r="L3573" s="3"/>
    </row>
    <row r="3574" spans="2:12" x14ac:dyDescent="0.3">
      <c r="B3574" s="1"/>
      <c r="C3574" s="1"/>
      <c r="I3574" s="3"/>
      <c r="J3574" s="3"/>
      <c r="K3574" s="3"/>
      <c r="L3574" s="3"/>
    </row>
    <row r="3575" spans="2:12" x14ac:dyDescent="0.3">
      <c r="B3575" s="1"/>
      <c r="C3575" s="1"/>
      <c r="I3575" s="3"/>
      <c r="J3575" s="3"/>
      <c r="K3575" s="3"/>
      <c r="L3575" s="3"/>
    </row>
    <row r="3576" spans="2:12" x14ac:dyDescent="0.3">
      <c r="B3576" s="1"/>
      <c r="C3576" s="1"/>
      <c r="I3576" s="3"/>
      <c r="J3576" s="3"/>
      <c r="K3576" s="3"/>
      <c r="L3576" s="3"/>
    </row>
    <row r="3577" spans="2:12" x14ac:dyDescent="0.3">
      <c r="B3577" s="1"/>
      <c r="C3577" s="1"/>
      <c r="I3577" s="3"/>
      <c r="J3577" s="3"/>
      <c r="K3577" s="3"/>
      <c r="L3577" s="3"/>
    </row>
    <row r="3578" spans="2:12" x14ac:dyDescent="0.3">
      <c r="B3578" s="1"/>
      <c r="C3578" s="1"/>
      <c r="I3578" s="3"/>
      <c r="J3578" s="3"/>
      <c r="K3578" s="3"/>
      <c r="L3578" s="3"/>
    </row>
    <row r="3579" spans="2:12" x14ac:dyDescent="0.3">
      <c r="B3579" s="1"/>
      <c r="C3579" s="1"/>
      <c r="I3579" s="3"/>
      <c r="J3579" s="3"/>
      <c r="K3579" s="3"/>
      <c r="L3579" s="3"/>
    </row>
    <row r="3580" spans="2:12" x14ac:dyDescent="0.3">
      <c r="B3580" s="1"/>
      <c r="C3580" s="1"/>
      <c r="I3580" s="3"/>
      <c r="J3580" s="3"/>
      <c r="K3580" s="3"/>
      <c r="L3580" s="3"/>
    </row>
    <row r="3581" spans="2:12" x14ac:dyDescent="0.3">
      <c r="B3581" s="1"/>
      <c r="C3581" s="1"/>
      <c r="I3581" s="3"/>
      <c r="J3581" s="3"/>
      <c r="K3581" s="3"/>
      <c r="L3581" s="3"/>
    </row>
    <row r="3582" spans="2:12" x14ac:dyDescent="0.3">
      <c r="B3582" s="1"/>
      <c r="C3582" s="1"/>
      <c r="I3582" s="3"/>
      <c r="J3582" s="3"/>
      <c r="K3582" s="3"/>
      <c r="L3582" s="3"/>
    </row>
    <row r="3583" spans="2:12" x14ac:dyDescent="0.3">
      <c r="B3583" s="1"/>
      <c r="C3583" s="1"/>
      <c r="I3583" s="3"/>
      <c r="J3583" s="3"/>
      <c r="K3583" s="3"/>
      <c r="L3583" s="3"/>
    </row>
    <row r="3584" spans="2:12" x14ac:dyDescent="0.3">
      <c r="B3584" s="1"/>
      <c r="C3584" s="1"/>
      <c r="I3584" s="3"/>
      <c r="J3584" s="3"/>
      <c r="K3584" s="3"/>
      <c r="L3584" s="3"/>
    </row>
    <row r="3585" spans="2:12" x14ac:dyDescent="0.3">
      <c r="B3585" s="1"/>
      <c r="C3585" s="1"/>
      <c r="I3585" s="3"/>
      <c r="J3585" s="3"/>
      <c r="K3585" s="3"/>
      <c r="L3585" s="3"/>
    </row>
    <row r="3586" spans="2:12" x14ac:dyDescent="0.3">
      <c r="B3586" s="1"/>
      <c r="C3586" s="1"/>
      <c r="I3586" s="3"/>
      <c r="J3586" s="3"/>
      <c r="K3586" s="3"/>
      <c r="L3586" s="3"/>
    </row>
    <row r="3587" spans="2:12" x14ac:dyDescent="0.3">
      <c r="B3587" s="1"/>
      <c r="C3587" s="1"/>
      <c r="I3587" s="3"/>
      <c r="J3587" s="3"/>
      <c r="K3587" s="3"/>
      <c r="L3587" s="3"/>
    </row>
    <row r="3588" spans="2:12" x14ac:dyDescent="0.3">
      <c r="B3588" s="1"/>
      <c r="C3588" s="1"/>
      <c r="I3588" s="3"/>
      <c r="J3588" s="3"/>
      <c r="K3588" s="3"/>
      <c r="L3588" s="3"/>
    </row>
    <row r="3589" spans="2:12" x14ac:dyDescent="0.3">
      <c r="B3589" s="1"/>
      <c r="C3589" s="1"/>
      <c r="I3589" s="3"/>
      <c r="J3589" s="3"/>
      <c r="K3589" s="3"/>
      <c r="L3589" s="3"/>
    </row>
    <row r="3590" spans="2:12" x14ac:dyDescent="0.3">
      <c r="B3590" s="1"/>
      <c r="C3590" s="1"/>
      <c r="I3590" s="3"/>
      <c r="J3590" s="3"/>
      <c r="K3590" s="3"/>
      <c r="L3590" s="3"/>
    </row>
    <row r="3591" spans="2:12" x14ac:dyDescent="0.3">
      <c r="B3591" s="1"/>
      <c r="C3591" s="1"/>
      <c r="I3591" s="3"/>
      <c r="J3591" s="3"/>
      <c r="K3591" s="3"/>
      <c r="L3591" s="3"/>
    </row>
    <row r="3592" spans="2:12" x14ac:dyDescent="0.3">
      <c r="B3592" s="1"/>
      <c r="C3592" s="1"/>
      <c r="I3592" s="3"/>
      <c r="J3592" s="3"/>
      <c r="K3592" s="3"/>
      <c r="L3592" s="3"/>
    </row>
    <row r="3593" spans="2:12" x14ac:dyDescent="0.3">
      <c r="B3593" s="1"/>
      <c r="C3593" s="1"/>
      <c r="I3593" s="3"/>
      <c r="J3593" s="3"/>
      <c r="K3593" s="3"/>
      <c r="L3593" s="3"/>
    </row>
    <row r="3594" spans="2:12" x14ac:dyDescent="0.3">
      <c r="B3594" s="1"/>
      <c r="C3594" s="1"/>
      <c r="I3594" s="3"/>
      <c r="J3594" s="3"/>
      <c r="K3594" s="3"/>
      <c r="L3594" s="3"/>
    </row>
    <row r="3595" spans="2:12" x14ac:dyDescent="0.3">
      <c r="B3595" s="1"/>
      <c r="C3595" s="1"/>
      <c r="I3595" s="3"/>
      <c r="J3595" s="3"/>
      <c r="K3595" s="3"/>
      <c r="L3595" s="3"/>
    </row>
    <row r="3596" spans="2:12" x14ac:dyDescent="0.3">
      <c r="B3596" s="1"/>
      <c r="C3596" s="1"/>
      <c r="I3596" s="3"/>
      <c r="J3596" s="3"/>
      <c r="K3596" s="3"/>
      <c r="L3596" s="3"/>
    </row>
    <row r="3597" spans="2:12" x14ac:dyDescent="0.3">
      <c r="B3597" s="1"/>
      <c r="C3597" s="1"/>
      <c r="I3597" s="3"/>
      <c r="J3597" s="3"/>
      <c r="K3597" s="3"/>
      <c r="L3597" s="3"/>
    </row>
    <row r="3598" spans="2:12" x14ac:dyDescent="0.3">
      <c r="B3598" s="1"/>
      <c r="C3598" s="1"/>
      <c r="I3598" s="3"/>
      <c r="J3598" s="3"/>
      <c r="K3598" s="3"/>
      <c r="L3598" s="3"/>
    </row>
    <row r="3599" spans="2:12" x14ac:dyDescent="0.3">
      <c r="B3599" s="1"/>
      <c r="C3599" s="1"/>
      <c r="I3599" s="3"/>
      <c r="J3599" s="3"/>
      <c r="K3599" s="3"/>
      <c r="L3599" s="3"/>
    </row>
    <row r="3600" spans="2:12" x14ac:dyDescent="0.3">
      <c r="B3600" s="1"/>
      <c r="C3600" s="1"/>
      <c r="I3600" s="3"/>
      <c r="J3600" s="3"/>
      <c r="K3600" s="3"/>
      <c r="L3600" s="3"/>
    </row>
    <row r="3601" spans="2:12" x14ac:dyDescent="0.3">
      <c r="B3601" s="1"/>
      <c r="C3601" s="1"/>
      <c r="I3601" s="3"/>
      <c r="J3601" s="3"/>
      <c r="K3601" s="3"/>
      <c r="L3601" s="3"/>
    </row>
    <row r="3602" spans="2:12" x14ac:dyDescent="0.3">
      <c r="B3602" s="1"/>
      <c r="C3602" s="1"/>
      <c r="I3602" s="3"/>
      <c r="J3602" s="3"/>
      <c r="K3602" s="3"/>
      <c r="L3602" s="3"/>
    </row>
    <row r="3603" spans="2:12" x14ac:dyDescent="0.3">
      <c r="B3603" s="1"/>
      <c r="C3603" s="1"/>
      <c r="I3603" s="3"/>
      <c r="J3603" s="3"/>
      <c r="K3603" s="3"/>
      <c r="L3603" s="3"/>
    </row>
    <row r="3604" spans="2:12" x14ac:dyDescent="0.3">
      <c r="B3604" s="1"/>
      <c r="C3604" s="1"/>
      <c r="I3604" s="3"/>
      <c r="J3604" s="3"/>
      <c r="K3604" s="3"/>
      <c r="L3604" s="3"/>
    </row>
    <row r="3605" spans="2:12" x14ac:dyDescent="0.3">
      <c r="B3605" s="1"/>
      <c r="C3605" s="1"/>
      <c r="I3605" s="3"/>
      <c r="J3605" s="3"/>
      <c r="K3605" s="3"/>
      <c r="L3605" s="3"/>
    </row>
    <row r="3606" spans="2:12" x14ac:dyDescent="0.3">
      <c r="B3606" s="1"/>
      <c r="C3606" s="1"/>
      <c r="I3606" s="3"/>
      <c r="J3606" s="3"/>
      <c r="K3606" s="3"/>
      <c r="L3606" s="3"/>
    </row>
    <row r="3607" spans="2:12" x14ac:dyDescent="0.3">
      <c r="B3607" s="1"/>
      <c r="C3607" s="1"/>
      <c r="I3607" s="3"/>
      <c r="J3607" s="3"/>
      <c r="K3607" s="3"/>
      <c r="L3607" s="3"/>
    </row>
    <row r="3608" spans="2:12" x14ac:dyDescent="0.3">
      <c r="B3608" s="1"/>
      <c r="C3608" s="1"/>
      <c r="I3608" s="3"/>
      <c r="J3608" s="3"/>
      <c r="K3608" s="3"/>
      <c r="L3608" s="3"/>
    </row>
    <row r="3609" spans="2:12" x14ac:dyDescent="0.3">
      <c r="B3609" s="1"/>
      <c r="C3609" s="1"/>
      <c r="I3609" s="3"/>
      <c r="J3609" s="3"/>
      <c r="K3609" s="3"/>
      <c r="L3609" s="3"/>
    </row>
    <row r="3610" spans="2:12" x14ac:dyDescent="0.3">
      <c r="B3610" s="1"/>
      <c r="C3610" s="1"/>
      <c r="I3610" s="3"/>
      <c r="J3610" s="3"/>
      <c r="K3610" s="3"/>
      <c r="L3610" s="3"/>
    </row>
    <row r="3611" spans="2:12" x14ac:dyDescent="0.3">
      <c r="B3611" s="1"/>
      <c r="C3611" s="1"/>
      <c r="I3611" s="3"/>
      <c r="J3611" s="3"/>
      <c r="K3611" s="3"/>
      <c r="L3611" s="3"/>
    </row>
    <row r="3612" spans="2:12" x14ac:dyDescent="0.3">
      <c r="B3612" s="1"/>
      <c r="C3612" s="1"/>
      <c r="I3612" s="3"/>
      <c r="J3612" s="3"/>
      <c r="K3612" s="3"/>
      <c r="L3612" s="3"/>
    </row>
    <row r="3613" spans="2:12" x14ac:dyDescent="0.3">
      <c r="B3613" s="1"/>
      <c r="C3613" s="1"/>
      <c r="I3613" s="3"/>
      <c r="J3613" s="3"/>
      <c r="K3613" s="3"/>
      <c r="L3613" s="3"/>
    </row>
    <row r="3614" spans="2:12" x14ac:dyDescent="0.3">
      <c r="B3614" s="1"/>
      <c r="C3614" s="1"/>
      <c r="I3614" s="3"/>
      <c r="J3614" s="3"/>
      <c r="K3614" s="3"/>
      <c r="L3614" s="3"/>
    </row>
    <row r="3615" spans="2:12" x14ac:dyDescent="0.3">
      <c r="B3615" s="1"/>
      <c r="C3615" s="1"/>
      <c r="I3615" s="3"/>
      <c r="J3615" s="3"/>
      <c r="K3615" s="3"/>
      <c r="L3615" s="3"/>
    </row>
    <row r="3616" spans="2:12" x14ac:dyDescent="0.3">
      <c r="B3616" s="1"/>
      <c r="C3616" s="1"/>
      <c r="I3616" s="3"/>
      <c r="J3616" s="3"/>
      <c r="K3616" s="3"/>
      <c r="L3616" s="3"/>
    </row>
    <row r="3617" spans="2:12" x14ac:dyDescent="0.3">
      <c r="B3617" s="1"/>
      <c r="C3617" s="1"/>
      <c r="I3617" s="3"/>
      <c r="J3617" s="3"/>
      <c r="K3617" s="3"/>
      <c r="L3617" s="3"/>
    </row>
    <row r="3618" spans="2:12" x14ac:dyDescent="0.3">
      <c r="B3618" s="1"/>
      <c r="C3618" s="1"/>
      <c r="I3618" s="3"/>
      <c r="J3618" s="3"/>
      <c r="K3618" s="3"/>
      <c r="L3618" s="3"/>
    </row>
    <row r="3619" spans="2:12" x14ac:dyDescent="0.3">
      <c r="B3619" s="1"/>
      <c r="C3619" s="1"/>
      <c r="I3619" s="3"/>
      <c r="J3619" s="3"/>
      <c r="K3619" s="3"/>
      <c r="L3619" s="3"/>
    </row>
    <row r="3620" spans="2:12" x14ac:dyDescent="0.3">
      <c r="B3620" s="1"/>
      <c r="C3620" s="1"/>
      <c r="I3620" s="3"/>
      <c r="J3620" s="3"/>
      <c r="K3620" s="3"/>
      <c r="L3620" s="3"/>
    </row>
    <row r="3621" spans="2:12" x14ac:dyDescent="0.3">
      <c r="B3621" s="1"/>
      <c r="C3621" s="1"/>
      <c r="I3621" s="3"/>
      <c r="J3621" s="3"/>
      <c r="K3621" s="3"/>
      <c r="L3621" s="3"/>
    </row>
    <row r="3622" spans="2:12" x14ac:dyDescent="0.3">
      <c r="B3622" s="1"/>
      <c r="C3622" s="1"/>
      <c r="I3622" s="3"/>
      <c r="J3622" s="3"/>
      <c r="K3622" s="3"/>
      <c r="L3622" s="3"/>
    </row>
    <row r="3623" spans="2:12" x14ac:dyDescent="0.3">
      <c r="B3623" s="1"/>
      <c r="C3623" s="1"/>
      <c r="I3623" s="3"/>
      <c r="J3623" s="3"/>
      <c r="K3623" s="3"/>
      <c r="L3623" s="3"/>
    </row>
    <row r="3624" spans="2:12" x14ac:dyDescent="0.3">
      <c r="B3624" s="1"/>
      <c r="C3624" s="1"/>
      <c r="I3624" s="3"/>
      <c r="J3624" s="3"/>
      <c r="K3624" s="3"/>
      <c r="L3624" s="3"/>
    </row>
    <row r="3625" spans="2:12" x14ac:dyDescent="0.3">
      <c r="B3625" s="1"/>
      <c r="C3625" s="1"/>
      <c r="I3625" s="3"/>
      <c r="J3625" s="3"/>
      <c r="K3625" s="3"/>
      <c r="L3625" s="3"/>
    </row>
    <row r="3626" spans="2:12" x14ac:dyDescent="0.3">
      <c r="B3626" s="1"/>
      <c r="C3626" s="1"/>
      <c r="I3626" s="3"/>
      <c r="J3626" s="3"/>
      <c r="K3626" s="3"/>
      <c r="L3626" s="3"/>
    </row>
    <row r="3627" spans="2:12" x14ac:dyDescent="0.3">
      <c r="B3627" s="1"/>
      <c r="C3627" s="1"/>
      <c r="I3627" s="3"/>
      <c r="J3627" s="3"/>
      <c r="K3627" s="3"/>
      <c r="L3627" s="3"/>
    </row>
    <row r="3628" spans="2:12" x14ac:dyDescent="0.3">
      <c r="B3628" s="1"/>
      <c r="C3628" s="1"/>
      <c r="I3628" s="3"/>
      <c r="J3628" s="3"/>
      <c r="K3628" s="3"/>
      <c r="L3628" s="3"/>
    </row>
    <row r="3629" spans="2:12" x14ac:dyDescent="0.3">
      <c r="B3629" s="1"/>
      <c r="C3629" s="1"/>
      <c r="I3629" s="3"/>
      <c r="J3629" s="3"/>
      <c r="K3629" s="3"/>
      <c r="L3629" s="3"/>
    </row>
    <row r="3630" spans="2:12" x14ac:dyDescent="0.3">
      <c r="B3630" s="1"/>
      <c r="C3630" s="1"/>
      <c r="I3630" s="3"/>
      <c r="J3630" s="3"/>
      <c r="K3630" s="3"/>
      <c r="L3630" s="3"/>
    </row>
    <row r="3631" spans="2:12" x14ac:dyDescent="0.3">
      <c r="B3631" s="1"/>
      <c r="C3631" s="1"/>
      <c r="I3631" s="3"/>
      <c r="J3631" s="3"/>
      <c r="K3631" s="3"/>
      <c r="L3631" s="3"/>
    </row>
    <row r="3632" spans="2:12" x14ac:dyDescent="0.3">
      <c r="B3632" s="1"/>
      <c r="C3632" s="1"/>
      <c r="I3632" s="3"/>
      <c r="J3632" s="3"/>
      <c r="K3632" s="3"/>
      <c r="L3632" s="3"/>
    </row>
    <row r="3633" spans="2:12" x14ac:dyDescent="0.3">
      <c r="B3633" s="1"/>
      <c r="C3633" s="1"/>
      <c r="I3633" s="3"/>
      <c r="J3633" s="3"/>
      <c r="K3633" s="3"/>
      <c r="L3633" s="3"/>
    </row>
    <row r="3634" spans="2:12" x14ac:dyDescent="0.3">
      <c r="B3634" s="1"/>
      <c r="C3634" s="1"/>
      <c r="I3634" s="3"/>
      <c r="J3634" s="3"/>
      <c r="K3634" s="3"/>
      <c r="L3634" s="3"/>
    </row>
    <row r="3635" spans="2:12" x14ac:dyDescent="0.3">
      <c r="B3635" s="1"/>
      <c r="C3635" s="1"/>
      <c r="I3635" s="3"/>
      <c r="J3635" s="3"/>
      <c r="K3635" s="3"/>
      <c r="L3635" s="3"/>
    </row>
    <row r="3636" spans="2:12" x14ac:dyDescent="0.3">
      <c r="B3636" s="1"/>
      <c r="C3636" s="1"/>
      <c r="I3636" s="3"/>
      <c r="J3636" s="3"/>
      <c r="K3636" s="3"/>
      <c r="L3636" s="3"/>
    </row>
    <row r="3637" spans="2:12" x14ac:dyDescent="0.3">
      <c r="B3637" s="1"/>
      <c r="C3637" s="1"/>
      <c r="I3637" s="3"/>
      <c r="J3637" s="3"/>
      <c r="K3637" s="3"/>
      <c r="L3637" s="3"/>
    </row>
    <row r="3638" spans="2:12" x14ac:dyDescent="0.3">
      <c r="B3638" s="1"/>
      <c r="C3638" s="1"/>
      <c r="I3638" s="3"/>
      <c r="J3638" s="3"/>
      <c r="K3638" s="3"/>
      <c r="L3638" s="3"/>
    </row>
    <row r="3639" spans="2:12" x14ac:dyDescent="0.3">
      <c r="B3639" s="1"/>
      <c r="C3639" s="1"/>
      <c r="I3639" s="3"/>
      <c r="J3639" s="3"/>
      <c r="K3639" s="3"/>
      <c r="L3639" s="3"/>
    </row>
    <row r="3640" spans="2:12" x14ac:dyDescent="0.3">
      <c r="B3640" s="1"/>
      <c r="C3640" s="1"/>
      <c r="I3640" s="3"/>
      <c r="J3640" s="3"/>
      <c r="K3640" s="3"/>
      <c r="L3640" s="3"/>
    </row>
    <row r="3641" spans="2:12" x14ac:dyDescent="0.3">
      <c r="B3641" s="1"/>
      <c r="C3641" s="1"/>
      <c r="I3641" s="3"/>
      <c r="J3641" s="3"/>
      <c r="K3641" s="3"/>
      <c r="L3641" s="3"/>
    </row>
    <row r="3642" spans="2:12" x14ac:dyDescent="0.3">
      <c r="B3642" s="1"/>
      <c r="C3642" s="1"/>
      <c r="I3642" s="3"/>
      <c r="J3642" s="3"/>
      <c r="K3642" s="3"/>
      <c r="L3642" s="3"/>
    </row>
    <row r="3643" spans="2:12" x14ac:dyDescent="0.3">
      <c r="B3643" s="1"/>
      <c r="C3643" s="1"/>
      <c r="I3643" s="3"/>
      <c r="J3643" s="3"/>
      <c r="K3643" s="3"/>
      <c r="L3643" s="3"/>
    </row>
    <row r="3644" spans="2:12" x14ac:dyDescent="0.3">
      <c r="B3644" s="1"/>
      <c r="C3644" s="1"/>
      <c r="I3644" s="3"/>
      <c r="J3644" s="3"/>
      <c r="K3644" s="3"/>
      <c r="L3644" s="3"/>
    </row>
    <row r="3645" spans="2:12" x14ac:dyDescent="0.3">
      <c r="B3645" s="1"/>
      <c r="C3645" s="1"/>
      <c r="I3645" s="3"/>
      <c r="J3645" s="3"/>
      <c r="K3645" s="3"/>
      <c r="L3645" s="3"/>
    </row>
    <row r="3646" spans="2:12" x14ac:dyDescent="0.3">
      <c r="B3646" s="1"/>
      <c r="C3646" s="1"/>
      <c r="I3646" s="3"/>
      <c r="J3646" s="3"/>
      <c r="K3646" s="3"/>
      <c r="L3646" s="3"/>
    </row>
    <row r="3647" spans="2:12" x14ac:dyDescent="0.3">
      <c r="B3647" s="1"/>
      <c r="C3647" s="1"/>
      <c r="I3647" s="3"/>
      <c r="J3647" s="3"/>
      <c r="K3647" s="3"/>
      <c r="L3647" s="3"/>
    </row>
    <row r="3648" spans="2:12" x14ac:dyDescent="0.3">
      <c r="B3648" s="1"/>
      <c r="C3648" s="1"/>
      <c r="I3648" s="3"/>
      <c r="J3648" s="3"/>
      <c r="K3648" s="3"/>
      <c r="L3648" s="3"/>
    </row>
    <row r="3649" spans="2:12" x14ac:dyDescent="0.3">
      <c r="B3649" s="1"/>
      <c r="C3649" s="1"/>
      <c r="I3649" s="3"/>
      <c r="J3649" s="3"/>
      <c r="K3649" s="3"/>
      <c r="L3649" s="3"/>
    </row>
    <row r="3650" spans="2:12" x14ac:dyDescent="0.3">
      <c r="B3650" s="1"/>
      <c r="C3650" s="1"/>
      <c r="I3650" s="3"/>
      <c r="J3650" s="3"/>
      <c r="K3650" s="3"/>
      <c r="L3650" s="3"/>
    </row>
    <row r="3651" spans="2:12" x14ac:dyDescent="0.3">
      <c r="B3651" s="1"/>
      <c r="C3651" s="1"/>
      <c r="I3651" s="3"/>
      <c r="J3651" s="3"/>
      <c r="K3651" s="3"/>
      <c r="L3651" s="3"/>
    </row>
    <row r="3652" spans="2:12" x14ac:dyDescent="0.3">
      <c r="B3652" s="1"/>
      <c r="C3652" s="1"/>
      <c r="I3652" s="3"/>
      <c r="J3652" s="3"/>
      <c r="K3652" s="3"/>
      <c r="L3652" s="3"/>
    </row>
    <row r="3653" spans="2:12" x14ac:dyDescent="0.3">
      <c r="B3653" s="1"/>
      <c r="C3653" s="1"/>
      <c r="I3653" s="3"/>
      <c r="J3653" s="3"/>
      <c r="K3653" s="3"/>
      <c r="L3653" s="3"/>
    </row>
    <row r="3654" spans="2:12" x14ac:dyDescent="0.3">
      <c r="B3654" s="1"/>
      <c r="C3654" s="1"/>
      <c r="I3654" s="3"/>
      <c r="J3654" s="3"/>
      <c r="K3654" s="3"/>
      <c r="L3654" s="3"/>
    </row>
    <row r="3655" spans="2:12" x14ac:dyDescent="0.3">
      <c r="B3655" s="1"/>
      <c r="C3655" s="1"/>
      <c r="I3655" s="3"/>
      <c r="J3655" s="3"/>
      <c r="K3655" s="3"/>
      <c r="L3655" s="3"/>
    </row>
    <row r="3656" spans="2:12" x14ac:dyDescent="0.3">
      <c r="B3656" s="1"/>
      <c r="C3656" s="1"/>
      <c r="I3656" s="3"/>
      <c r="J3656" s="3"/>
      <c r="K3656" s="3"/>
      <c r="L3656" s="3"/>
    </row>
    <row r="3657" spans="2:12" x14ac:dyDescent="0.3">
      <c r="B3657" s="1"/>
      <c r="C3657" s="1"/>
      <c r="I3657" s="3"/>
      <c r="J3657" s="3"/>
      <c r="K3657" s="3"/>
      <c r="L3657" s="3"/>
    </row>
    <row r="3658" spans="2:12" x14ac:dyDescent="0.3">
      <c r="B3658" s="1"/>
      <c r="C3658" s="1"/>
      <c r="I3658" s="3"/>
      <c r="J3658" s="3"/>
      <c r="K3658" s="3"/>
      <c r="L3658" s="3"/>
    </row>
    <row r="3659" spans="2:12" x14ac:dyDescent="0.3">
      <c r="B3659" s="1"/>
      <c r="C3659" s="1"/>
      <c r="I3659" s="3"/>
      <c r="J3659" s="3"/>
      <c r="K3659" s="3"/>
      <c r="L3659" s="3"/>
    </row>
    <row r="3660" spans="2:12" x14ac:dyDescent="0.3">
      <c r="B3660" s="1"/>
      <c r="C3660" s="1"/>
      <c r="I3660" s="3"/>
      <c r="J3660" s="3"/>
      <c r="K3660" s="3"/>
      <c r="L3660" s="3"/>
    </row>
    <row r="3661" spans="2:12" x14ac:dyDescent="0.3">
      <c r="B3661" s="1"/>
      <c r="C3661" s="1"/>
      <c r="I3661" s="3"/>
      <c r="J3661" s="3"/>
      <c r="K3661" s="3"/>
      <c r="L3661" s="3"/>
    </row>
    <row r="3662" spans="2:12" x14ac:dyDescent="0.3">
      <c r="B3662" s="1"/>
      <c r="C3662" s="1"/>
      <c r="I3662" s="3"/>
      <c r="J3662" s="3"/>
      <c r="K3662" s="3"/>
      <c r="L3662" s="3"/>
    </row>
    <row r="3663" spans="2:12" x14ac:dyDescent="0.3">
      <c r="B3663" s="1"/>
      <c r="C3663" s="1"/>
      <c r="I3663" s="3"/>
      <c r="J3663" s="3"/>
      <c r="K3663" s="3"/>
      <c r="L3663" s="3"/>
    </row>
    <row r="3664" spans="2:12" x14ac:dyDescent="0.3">
      <c r="B3664" s="1"/>
      <c r="C3664" s="1"/>
      <c r="I3664" s="3"/>
      <c r="J3664" s="3"/>
      <c r="K3664" s="3"/>
      <c r="L3664" s="3"/>
    </row>
    <row r="3665" spans="2:12" x14ac:dyDescent="0.3">
      <c r="B3665" s="1"/>
      <c r="C3665" s="1"/>
      <c r="I3665" s="3"/>
      <c r="J3665" s="3"/>
      <c r="K3665" s="3"/>
      <c r="L3665" s="3"/>
    </row>
    <row r="3666" spans="2:12" x14ac:dyDescent="0.3">
      <c r="B3666" s="1"/>
      <c r="C3666" s="1"/>
      <c r="I3666" s="3"/>
      <c r="J3666" s="3"/>
      <c r="K3666" s="3"/>
      <c r="L3666" s="3"/>
    </row>
    <row r="3667" spans="2:12" x14ac:dyDescent="0.3">
      <c r="B3667" s="1"/>
      <c r="C3667" s="1"/>
      <c r="I3667" s="3"/>
      <c r="J3667" s="3"/>
      <c r="K3667" s="3"/>
      <c r="L3667" s="3"/>
    </row>
    <row r="3668" spans="2:12" x14ac:dyDescent="0.3">
      <c r="B3668" s="1"/>
      <c r="C3668" s="1"/>
      <c r="I3668" s="3"/>
      <c r="J3668" s="3"/>
      <c r="K3668" s="3"/>
      <c r="L3668" s="3"/>
    </row>
    <row r="3669" spans="2:12" x14ac:dyDescent="0.3">
      <c r="B3669" s="1"/>
      <c r="C3669" s="1"/>
      <c r="I3669" s="3"/>
      <c r="J3669" s="3"/>
      <c r="K3669" s="3"/>
      <c r="L3669" s="3"/>
    </row>
    <row r="3670" spans="2:12" x14ac:dyDescent="0.3">
      <c r="B3670" s="1"/>
      <c r="C3670" s="1"/>
      <c r="I3670" s="3"/>
      <c r="J3670" s="3"/>
      <c r="K3670" s="3"/>
      <c r="L3670" s="3"/>
    </row>
    <row r="3671" spans="2:12" x14ac:dyDescent="0.3">
      <c r="B3671" s="1"/>
      <c r="C3671" s="1"/>
      <c r="I3671" s="3"/>
      <c r="J3671" s="3"/>
      <c r="K3671" s="3"/>
      <c r="L3671" s="3"/>
    </row>
    <row r="3672" spans="2:12" x14ac:dyDescent="0.3">
      <c r="B3672" s="1"/>
      <c r="C3672" s="1"/>
      <c r="I3672" s="3"/>
      <c r="J3672" s="3"/>
      <c r="K3672" s="3"/>
      <c r="L3672" s="3"/>
    </row>
    <row r="3673" spans="2:12" x14ac:dyDescent="0.3">
      <c r="B3673" s="1"/>
      <c r="C3673" s="1"/>
      <c r="I3673" s="3"/>
      <c r="J3673" s="3"/>
      <c r="K3673" s="3"/>
      <c r="L3673" s="3"/>
    </row>
    <row r="3674" spans="2:12" x14ac:dyDescent="0.3">
      <c r="B3674" s="1"/>
      <c r="C3674" s="1"/>
      <c r="I3674" s="3"/>
      <c r="J3674" s="3"/>
      <c r="K3674" s="3"/>
      <c r="L3674" s="3"/>
    </row>
    <row r="3675" spans="2:12" x14ac:dyDescent="0.3">
      <c r="B3675" s="1"/>
      <c r="C3675" s="1"/>
      <c r="I3675" s="3"/>
      <c r="J3675" s="3"/>
      <c r="K3675" s="3"/>
      <c r="L3675" s="3"/>
    </row>
    <row r="3676" spans="2:12" x14ac:dyDescent="0.3">
      <c r="B3676" s="1"/>
      <c r="C3676" s="1"/>
      <c r="I3676" s="3"/>
      <c r="J3676" s="3"/>
      <c r="K3676" s="3"/>
      <c r="L3676" s="3"/>
    </row>
    <row r="3677" spans="2:12" x14ac:dyDescent="0.3">
      <c r="B3677" s="1"/>
      <c r="C3677" s="1"/>
      <c r="I3677" s="3"/>
      <c r="J3677" s="3"/>
      <c r="K3677" s="3"/>
      <c r="L3677" s="3"/>
    </row>
    <row r="3678" spans="2:12" x14ac:dyDescent="0.3">
      <c r="B3678" s="1"/>
      <c r="C3678" s="1"/>
      <c r="I3678" s="3"/>
      <c r="J3678" s="3"/>
      <c r="K3678" s="3"/>
      <c r="L3678" s="3"/>
    </row>
    <row r="3679" spans="2:12" x14ac:dyDescent="0.3">
      <c r="B3679" s="1"/>
      <c r="C3679" s="1"/>
      <c r="I3679" s="3"/>
      <c r="J3679" s="3"/>
      <c r="K3679" s="3"/>
      <c r="L3679" s="3"/>
    </row>
    <row r="3680" spans="2:12" x14ac:dyDescent="0.3">
      <c r="B3680" s="1"/>
      <c r="C3680" s="1"/>
      <c r="I3680" s="3"/>
      <c r="J3680" s="3"/>
      <c r="K3680" s="3"/>
      <c r="L3680" s="3"/>
    </row>
    <row r="3681" spans="2:12" x14ac:dyDescent="0.3">
      <c r="B3681" s="1"/>
      <c r="C3681" s="1"/>
      <c r="I3681" s="3"/>
      <c r="J3681" s="3"/>
      <c r="K3681" s="3"/>
      <c r="L3681" s="3"/>
    </row>
    <row r="3682" spans="2:12" x14ac:dyDescent="0.3">
      <c r="B3682" s="1"/>
      <c r="C3682" s="1"/>
      <c r="I3682" s="3"/>
      <c r="J3682" s="3"/>
      <c r="K3682" s="3"/>
      <c r="L3682" s="3"/>
    </row>
    <row r="3683" spans="2:12" x14ac:dyDescent="0.3">
      <c r="B3683" s="1"/>
      <c r="C3683" s="1"/>
      <c r="I3683" s="3"/>
      <c r="J3683" s="3"/>
      <c r="K3683" s="3"/>
      <c r="L3683" s="3"/>
    </row>
    <row r="3684" spans="2:12" x14ac:dyDescent="0.3">
      <c r="B3684" s="1"/>
      <c r="C3684" s="1"/>
      <c r="I3684" s="3"/>
      <c r="J3684" s="3"/>
      <c r="K3684" s="3"/>
      <c r="L3684" s="3"/>
    </row>
    <row r="3685" spans="2:12" x14ac:dyDescent="0.3">
      <c r="B3685" s="1"/>
      <c r="C3685" s="1"/>
      <c r="I3685" s="3"/>
      <c r="J3685" s="3"/>
      <c r="K3685" s="3"/>
      <c r="L3685" s="3"/>
    </row>
    <row r="3686" spans="2:12" x14ac:dyDescent="0.3">
      <c r="B3686" s="1"/>
      <c r="C3686" s="1"/>
      <c r="I3686" s="3"/>
      <c r="J3686" s="3"/>
      <c r="K3686" s="3"/>
      <c r="L3686" s="3"/>
    </row>
    <row r="3687" spans="2:12" x14ac:dyDescent="0.3">
      <c r="B3687" s="1"/>
      <c r="C3687" s="1"/>
      <c r="I3687" s="3"/>
      <c r="J3687" s="3"/>
      <c r="K3687" s="3"/>
      <c r="L3687" s="3"/>
    </row>
    <row r="3688" spans="2:12" x14ac:dyDescent="0.3">
      <c r="B3688" s="1"/>
      <c r="C3688" s="1"/>
      <c r="I3688" s="3"/>
      <c r="J3688" s="3"/>
      <c r="K3688" s="3"/>
      <c r="L3688" s="3"/>
    </row>
    <row r="3689" spans="2:12" x14ac:dyDescent="0.3">
      <c r="B3689" s="1"/>
      <c r="C3689" s="1"/>
      <c r="I3689" s="3"/>
      <c r="J3689" s="3"/>
      <c r="K3689" s="3"/>
      <c r="L3689" s="3"/>
    </row>
    <row r="3690" spans="2:12" x14ac:dyDescent="0.3">
      <c r="B3690" s="1"/>
      <c r="C3690" s="1"/>
      <c r="I3690" s="3"/>
      <c r="J3690" s="3"/>
      <c r="K3690" s="3"/>
      <c r="L3690" s="3"/>
    </row>
    <row r="3691" spans="2:12" x14ac:dyDescent="0.3">
      <c r="B3691" s="1"/>
      <c r="C3691" s="1"/>
      <c r="I3691" s="3"/>
      <c r="J3691" s="3"/>
      <c r="K3691" s="3"/>
      <c r="L3691" s="3"/>
    </row>
    <row r="3692" spans="2:12" x14ac:dyDescent="0.3">
      <c r="B3692" s="1"/>
      <c r="C3692" s="1"/>
      <c r="I3692" s="3"/>
      <c r="J3692" s="3"/>
      <c r="K3692" s="3"/>
      <c r="L3692" s="3"/>
    </row>
    <row r="3693" spans="2:12" x14ac:dyDescent="0.3">
      <c r="B3693" s="1"/>
      <c r="C3693" s="1"/>
      <c r="I3693" s="3"/>
      <c r="J3693" s="3"/>
      <c r="K3693" s="3"/>
      <c r="L3693" s="3"/>
    </row>
    <row r="3694" spans="2:12" x14ac:dyDescent="0.3">
      <c r="B3694" s="1"/>
      <c r="C3694" s="1"/>
      <c r="I3694" s="3"/>
      <c r="J3694" s="3"/>
      <c r="K3694" s="3"/>
      <c r="L3694" s="3"/>
    </row>
    <row r="3695" spans="2:12" x14ac:dyDescent="0.3">
      <c r="B3695" s="1"/>
      <c r="C3695" s="1"/>
      <c r="I3695" s="3"/>
      <c r="J3695" s="3"/>
      <c r="K3695" s="3"/>
      <c r="L3695" s="3"/>
    </row>
    <row r="3696" spans="2:12" x14ac:dyDescent="0.3">
      <c r="B3696" s="1"/>
      <c r="C3696" s="1"/>
      <c r="I3696" s="3"/>
      <c r="J3696" s="3"/>
      <c r="K3696" s="3"/>
      <c r="L3696" s="3"/>
    </row>
    <row r="3697" spans="2:12" x14ac:dyDescent="0.3">
      <c r="B3697" s="1"/>
      <c r="C3697" s="1"/>
      <c r="I3697" s="3"/>
      <c r="J3697" s="3"/>
      <c r="K3697" s="3"/>
      <c r="L3697" s="3"/>
    </row>
    <row r="3698" spans="2:12" x14ac:dyDescent="0.3">
      <c r="B3698" s="1"/>
      <c r="C3698" s="1"/>
      <c r="I3698" s="3"/>
      <c r="J3698" s="3"/>
      <c r="K3698" s="3"/>
      <c r="L3698" s="3"/>
    </row>
    <row r="3699" spans="2:12" x14ac:dyDescent="0.3">
      <c r="B3699" s="1"/>
      <c r="C3699" s="1"/>
      <c r="I3699" s="3"/>
      <c r="J3699" s="3"/>
      <c r="K3699" s="3"/>
      <c r="L3699" s="3"/>
    </row>
    <row r="3700" spans="2:12" x14ac:dyDescent="0.3">
      <c r="B3700" s="1"/>
      <c r="C3700" s="1"/>
      <c r="I3700" s="3"/>
      <c r="J3700" s="3"/>
      <c r="K3700" s="3"/>
      <c r="L3700" s="3"/>
    </row>
    <row r="3701" spans="2:12" x14ac:dyDescent="0.3">
      <c r="B3701" s="1"/>
      <c r="C3701" s="1"/>
      <c r="I3701" s="3"/>
      <c r="J3701" s="3"/>
      <c r="K3701" s="3"/>
      <c r="L3701" s="3"/>
    </row>
    <row r="3702" spans="2:12" x14ac:dyDescent="0.3">
      <c r="B3702" s="1"/>
      <c r="C3702" s="1"/>
      <c r="I3702" s="3"/>
      <c r="J3702" s="3"/>
      <c r="K3702" s="3"/>
      <c r="L3702" s="3"/>
    </row>
    <row r="3703" spans="2:12" x14ac:dyDescent="0.3">
      <c r="B3703" s="1"/>
      <c r="C3703" s="1"/>
      <c r="I3703" s="3"/>
      <c r="J3703" s="3"/>
      <c r="K3703" s="3"/>
      <c r="L3703" s="3"/>
    </row>
    <row r="3704" spans="2:12" x14ac:dyDescent="0.3">
      <c r="B3704" s="1"/>
      <c r="C3704" s="1"/>
      <c r="I3704" s="3"/>
      <c r="J3704" s="3"/>
      <c r="K3704" s="3"/>
      <c r="L3704" s="3"/>
    </row>
    <row r="3705" spans="2:12" x14ac:dyDescent="0.3">
      <c r="B3705" s="1"/>
      <c r="C3705" s="1"/>
      <c r="I3705" s="3"/>
      <c r="J3705" s="3"/>
      <c r="K3705" s="3"/>
      <c r="L3705" s="3"/>
    </row>
    <row r="3706" spans="2:12" x14ac:dyDescent="0.3">
      <c r="B3706" s="1"/>
      <c r="C3706" s="1"/>
      <c r="I3706" s="3"/>
      <c r="J3706" s="3"/>
      <c r="K3706" s="3"/>
      <c r="L3706" s="3"/>
    </row>
    <row r="3707" spans="2:12" x14ac:dyDescent="0.3">
      <c r="B3707" s="1"/>
      <c r="C3707" s="1"/>
      <c r="I3707" s="3"/>
      <c r="J3707" s="3"/>
      <c r="K3707" s="3"/>
      <c r="L3707" s="3"/>
    </row>
    <row r="3708" spans="2:12" x14ac:dyDescent="0.3">
      <c r="B3708" s="1"/>
      <c r="C3708" s="1"/>
      <c r="I3708" s="3"/>
      <c r="J3708" s="3"/>
      <c r="K3708" s="3"/>
      <c r="L3708" s="3"/>
    </row>
    <row r="3709" spans="2:12" x14ac:dyDescent="0.3">
      <c r="B3709" s="1"/>
      <c r="C3709" s="1"/>
      <c r="I3709" s="3"/>
      <c r="J3709" s="3"/>
      <c r="K3709" s="3"/>
      <c r="L3709" s="3"/>
    </row>
    <row r="3710" spans="2:12" x14ac:dyDescent="0.3">
      <c r="B3710" s="1"/>
      <c r="C3710" s="1"/>
      <c r="I3710" s="3"/>
      <c r="J3710" s="3"/>
      <c r="K3710" s="3"/>
      <c r="L3710" s="3"/>
    </row>
    <row r="3711" spans="2:12" x14ac:dyDescent="0.3">
      <c r="B3711" s="1"/>
      <c r="C3711" s="1"/>
      <c r="I3711" s="3"/>
      <c r="J3711" s="3"/>
      <c r="K3711" s="3"/>
      <c r="L3711" s="3"/>
    </row>
    <row r="3712" spans="2:12" x14ac:dyDescent="0.3">
      <c r="B3712" s="1"/>
      <c r="C3712" s="1"/>
      <c r="I3712" s="3"/>
      <c r="J3712" s="3"/>
      <c r="K3712" s="3"/>
      <c r="L3712" s="3"/>
    </row>
    <row r="3713" spans="2:12" x14ac:dyDescent="0.3">
      <c r="B3713" s="1"/>
      <c r="C3713" s="1"/>
      <c r="I3713" s="3"/>
      <c r="J3713" s="3"/>
      <c r="K3713" s="3"/>
      <c r="L3713" s="3"/>
    </row>
    <row r="3714" spans="2:12" x14ac:dyDescent="0.3">
      <c r="B3714" s="1"/>
      <c r="C3714" s="1"/>
      <c r="I3714" s="3"/>
      <c r="J3714" s="3"/>
      <c r="K3714" s="3"/>
      <c r="L3714" s="3"/>
    </row>
    <row r="3715" spans="2:12" x14ac:dyDescent="0.3">
      <c r="B3715" s="1"/>
      <c r="C3715" s="1"/>
      <c r="I3715" s="3"/>
      <c r="J3715" s="3"/>
      <c r="K3715" s="3"/>
      <c r="L3715" s="3"/>
    </row>
    <row r="3716" spans="2:12" x14ac:dyDescent="0.3">
      <c r="B3716" s="1"/>
      <c r="C3716" s="1"/>
      <c r="I3716" s="3"/>
      <c r="J3716" s="3"/>
      <c r="K3716" s="3"/>
      <c r="L3716" s="3"/>
    </row>
    <row r="3717" spans="2:12" x14ac:dyDescent="0.3">
      <c r="B3717" s="1"/>
      <c r="C3717" s="1"/>
      <c r="I3717" s="3"/>
      <c r="J3717" s="3"/>
      <c r="K3717" s="3"/>
      <c r="L3717" s="3"/>
    </row>
    <row r="3718" spans="2:12" x14ac:dyDescent="0.3">
      <c r="B3718" s="1"/>
      <c r="C3718" s="1"/>
      <c r="I3718" s="3"/>
      <c r="J3718" s="3"/>
      <c r="K3718" s="3"/>
      <c r="L3718" s="3"/>
    </row>
    <row r="3719" spans="2:12" x14ac:dyDescent="0.3">
      <c r="B3719" s="1"/>
      <c r="C3719" s="1"/>
      <c r="I3719" s="3"/>
      <c r="J3719" s="3"/>
      <c r="K3719" s="3"/>
      <c r="L3719" s="3"/>
    </row>
    <row r="3720" spans="2:12" x14ac:dyDescent="0.3">
      <c r="B3720" s="1"/>
      <c r="C3720" s="1"/>
      <c r="I3720" s="3"/>
      <c r="J3720" s="3"/>
      <c r="K3720" s="3"/>
      <c r="L3720" s="3"/>
    </row>
    <row r="3721" spans="2:12" x14ac:dyDescent="0.3">
      <c r="B3721" s="1"/>
      <c r="C3721" s="1"/>
      <c r="I3721" s="3"/>
      <c r="J3721" s="3"/>
      <c r="K3721" s="3"/>
      <c r="L3721" s="3"/>
    </row>
    <row r="3722" spans="2:12" x14ac:dyDescent="0.3">
      <c r="B3722" s="1"/>
      <c r="C3722" s="1"/>
      <c r="I3722" s="3"/>
      <c r="J3722" s="3"/>
      <c r="K3722" s="3"/>
      <c r="L3722" s="3"/>
    </row>
    <row r="3723" spans="2:12" x14ac:dyDescent="0.3">
      <c r="B3723" s="1"/>
      <c r="C3723" s="1"/>
      <c r="I3723" s="3"/>
      <c r="J3723" s="3"/>
      <c r="K3723" s="3"/>
      <c r="L3723" s="3"/>
    </row>
    <row r="3724" spans="2:12" x14ac:dyDescent="0.3">
      <c r="B3724" s="1"/>
      <c r="C3724" s="1"/>
      <c r="I3724" s="3"/>
      <c r="J3724" s="3"/>
      <c r="K3724" s="3"/>
      <c r="L3724" s="3"/>
    </row>
    <row r="3725" spans="2:12" x14ac:dyDescent="0.3">
      <c r="B3725" s="1"/>
      <c r="C3725" s="1"/>
      <c r="I3725" s="3"/>
      <c r="J3725" s="3"/>
      <c r="K3725" s="3"/>
      <c r="L3725" s="3"/>
    </row>
    <row r="3726" spans="2:12" x14ac:dyDescent="0.3">
      <c r="B3726" s="1"/>
      <c r="C3726" s="1"/>
      <c r="I3726" s="3"/>
      <c r="J3726" s="3"/>
      <c r="K3726" s="3"/>
      <c r="L3726" s="3"/>
    </row>
    <row r="3727" spans="2:12" x14ac:dyDescent="0.3">
      <c r="B3727" s="1"/>
      <c r="C3727" s="1"/>
      <c r="I3727" s="3"/>
      <c r="J3727" s="3"/>
      <c r="K3727" s="3"/>
      <c r="L3727" s="3"/>
    </row>
    <row r="3728" spans="2:12" x14ac:dyDescent="0.3">
      <c r="B3728" s="1"/>
      <c r="C3728" s="1"/>
      <c r="I3728" s="3"/>
      <c r="J3728" s="3"/>
      <c r="K3728" s="3"/>
      <c r="L3728" s="3"/>
    </row>
    <row r="3729" spans="2:12" x14ac:dyDescent="0.3">
      <c r="B3729" s="1"/>
      <c r="C3729" s="1"/>
      <c r="I3729" s="3"/>
      <c r="J3729" s="3"/>
      <c r="K3729" s="3"/>
      <c r="L3729" s="3"/>
    </row>
    <row r="3730" spans="2:12" x14ac:dyDescent="0.3">
      <c r="B3730" s="1"/>
      <c r="C3730" s="1"/>
      <c r="I3730" s="3"/>
      <c r="J3730" s="3"/>
      <c r="K3730" s="3"/>
      <c r="L3730" s="3"/>
    </row>
    <row r="3731" spans="2:12" x14ac:dyDescent="0.3">
      <c r="B3731" s="1"/>
      <c r="C3731" s="1"/>
      <c r="I3731" s="3"/>
      <c r="J3731" s="3"/>
      <c r="K3731" s="3"/>
      <c r="L3731" s="3"/>
    </row>
    <row r="3732" spans="2:12" x14ac:dyDescent="0.3">
      <c r="B3732" s="1"/>
      <c r="C3732" s="1"/>
      <c r="I3732" s="3"/>
      <c r="J3732" s="3"/>
      <c r="K3732" s="3"/>
      <c r="L3732" s="3"/>
    </row>
    <row r="3733" spans="2:12" x14ac:dyDescent="0.3">
      <c r="B3733" s="1"/>
      <c r="C3733" s="1"/>
      <c r="I3733" s="3"/>
      <c r="J3733" s="3"/>
      <c r="K3733" s="3"/>
      <c r="L3733" s="3"/>
    </row>
    <row r="3734" spans="2:12" x14ac:dyDescent="0.3">
      <c r="B3734" s="1"/>
      <c r="C3734" s="1"/>
      <c r="I3734" s="3"/>
      <c r="J3734" s="3"/>
      <c r="K3734" s="3"/>
      <c r="L3734" s="3"/>
    </row>
    <row r="3735" spans="2:12" x14ac:dyDescent="0.3">
      <c r="B3735" s="1"/>
      <c r="C3735" s="1"/>
      <c r="I3735" s="3"/>
      <c r="J3735" s="3"/>
      <c r="K3735" s="3"/>
      <c r="L3735" s="3"/>
    </row>
    <row r="3736" spans="2:12" x14ac:dyDescent="0.3">
      <c r="B3736" s="1"/>
      <c r="C3736" s="1"/>
      <c r="I3736" s="3"/>
      <c r="J3736" s="3"/>
      <c r="K3736" s="3"/>
      <c r="L3736" s="3"/>
    </row>
    <row r="3737" spans="2:12" x14ac:dyDescent="0.3">
      <c r="B3737" s="1"/>
      <c r="C3737" s="1"/>
      <c r="I3737" s="3"/>
      <c r="J3737" s="3"/>
      <c r="K3737" s="3"/>
      <c r="L3737" s="3"/>
    </row>
    <row r="3738" spans="2:12" x14ac:dyDescent="0.3">
      <c r="B3738" s="1"/>
      <c r="C3738" s="1"/>
      <c r="I3738" s="3"/>
      <c r="J3738" s="3"/>
      <c r="K3738" s="3"/>
      <c r="L3738" s="3"/>
    </row>
    <row r="3739" spans="2:12" x14ac:dyDescent="0.3">
      <c r="B3739" s="1"/>
      <c r="C3739" s="1"/>
      <c r="I3739" s="3"/>
      <c r="J3739" s="3"/>
      <c r="K3739" s="3"/>
      <c r="L3739" s="3"/>
    </row>
    <row r="3740" spans="2:12" x14ac:dyDescent="0.3">
      <c r="B3740" s="1"/>
      <c r="C3740" s="1"/>
      <c r="I3740" s="3"/>
      <c r="J3740" s="3"/>
      <c r="K3740" s="3"/>
      <c r="L3740" s="3"/>
    </row>
    <row r="3741" spans="2:12" x14ac:dyDescent="0.3">
      <c r="B3741" s="1"/>
      <c r="C3741" s="1"/>
      <c r="I3741" s="3"/>
      <c r="J3741" s="3"/>
      <c r="K3741" s="3"/>
      <c r="L3741" s="3"/>
    </row>
    <row r="3742" spans="2:12" x14ac:dyDescent="0.3">
      <c r="B3742" s="1"/>
      <c r="C3742" s="1"/>
      <c r="I3742" s="3"/>
      <c r="J3742" s="3"/>
      <c r="K3742" s="3"/>
      <c r="L3742" s="3"/>
    </row>
    <row r="3743" spans="2:12" x14ac:dyDescent="0.3">
      <c r="B3743" s="1"/>
      <c r="C3743" s="1"/>
      <c r="I3743" s="3"/>
      <c r="J3743" s="3"/>
      <c r="K3743" s="3"/>
      <c r="L3743" s="3"/>
    </row>
    <row r="3744" spans="2:12" x14ac:dyDescent="0.3">
      <c r="B3744" s="1"/>
      <c r="C3744" s="1"/>
      <c r="I3744" s="3"/>
      <c r="J3744" s="3"/>
      <c r="K3744" s="3"/>
      <c r="L3744" s="3"/>
    </row>
    <row r="3745" spans="2:12" x14ac:dyDescent="0.3">
      <c r="B3745" s="1"/>
      <c r="C3745" s="1"/>
      <c r="I3745" s="3"/>
      <c r="J3745" s="3"/>
      <c r="K3745" s="3"/>
      <c r="L3745" s="3"/>
    </row>
    <row r="3746" spans="2:12" x14ac:dyDescent="0.3">
      <c r="B3746" s="1"/>
      <c r="C3746" s="1"/>
      <c r="I3746" s="3"/>
      <c r="J3746" s="3"/>
      <c r="K3746" s="3"/>
      <c r="L3746" s="3"/>
    </row>
    <row r="3747" spans="2:12" x14ac:dyDescent="0.3">
      <c r="B3747" s="1"/>
      <c r="C3747" s="1"/>
      <c r="I3747" s="3"/>
      <c r="J3747" s="3"/>
      <c r="K3747" s="3"/>
      <c r="L3747" s="3"/>
    </row>
    <row r="3748" spans="2:12" x14ac:dyDescent="0.3">
      <c r="B3748" s="1"/>
      <c r="C3748" s="1"/>
      <c r="I3748" s="3"/>
      <c r="J3748" s="3"/>
      <c r="K3748" s="3"/>
      <c r="L3748" s="3"/>
    </row>
    <row r="3749" spans="2:12" x14ac:dyDescent="0.3">
      <c r="B3749" s="1"/>
      <c r="C3749" s="1"/>
      <c r="I3749" s="3"/>
      <c r="J3749" s="3"/>
      <c r="K3749" s="3"/>
      <c r="L3749" s="3"/>
    </row>
    <row r="3750" spans="2:12" x14ac:dyDescent="0.3">
      <c r="B3750" s="1"/>
      <c r="C3750" s="1"/>
      <c r="I3750" s="3"/>
      <c r="J3750" s="3"/>
      <c r="K3750" s="3"/>
      <c r="L3750" s="3"/>
    </row>
    <row r="3751" spans="2:12" x14ac:dyDescent="0.3">
      <c r="B3751" s="1"/>
      <c r="C3751" s="1"/>
      <c r="I3751" s="3"/>
      <c r="J3751" s="3"/>
      <c r="K3751" s="3"/>
      <c r="L3751" s="3"/>
    </row>
    <row r="3752" spans="2:12" x14ac:dyDescent="0.3">
      <c r="B3752" s="1"/>
      <c r="C3752" s="1"/>
      <c r="I3752" s="3"/>
      <c r="J3752" s="3"/>
      <c r="K3752" s="3"/>
      <c r="L3752" s="3"/>
    </row>
    <row r="3753" spans="2:12" x14ac:dyDescent="0.3">
      <c r="B3753" s="1"/>
      <c r="C3753" s="1"/>
      <c r="I3753" s="3"/>
      <c r="J3753" s="3"/>
      <c r="K3753" s="3"/>
      <c r="L3753" s="3"/>
    </row>
    <row r="3754" spans="2:12" x14ac:dyDescent="0.3">
      <c r="B3754" s="1"/>
      <c r="C3754" s="1"/>
      <c r="I3754" s="3"/>
      <c r="J3754" s="3"/>
      <c r="K3754" s="3"/>
      <c r="L3754" s="3"/>
    </row>
    <row r="3755" spans="2:12" x14ac:dyDescent="0.3">
      <c r="B3755" s="1"/>
      <c r="C3755" s="1"/>
      <c r="I3755" s="3"/>
      <c r="J3755" s="3"/>
      <c r="K3755" s="3"/>
      <c r="L3755" s="3"/>
    </row>
    <row r="3756" spans="2:12" x14ac:dyDescent="0.3">
      <c r="B3756" s="1"/>
      <c r="C3756" s="1"/>
      <c r="I3756" s="3"/>
      <c r="J3756" s="3"/>
      <c r="K3756" s="3"/>
      <c r="L3756" s="3"/>
    </row>
    <row r="3757" spans="2:12" x14ac:dyDescent="0.3">
      <c r="B3757" s="1"/>
      <c r="C3757" s="1"/>
      <c r="I3757" s="3"/>
      <c r="J3757" s="3"/>
      <c r="K3757" s="3"/>
      <c r="L3757" s="3"/>
    </row>
    <row r="3758" spans="2:12" x14ac:dyDescent="0.3">
      <c r="B3758" s="1"/>
      <c r="C3758" s="1"/>
      <c r="I3758" s="3"/>
      <c r="J3758" s="3"/>
      <c r="K3758" s="3"/>
      <c r="L3758" s="3"/>
    </row>
    <row r="3759" spans="2:12" x14ac:dyDescent="0.3">
      <c r="B3759" s="1"/>
      <c r="C3759" s="1"/>
      <c r="I3759" s="3"/>
      <c r="J3759" s="3"/>
      <c r="K3759" s="3"/>
      <c r="L3759" s="3"/>
    </row>
    <row r="3760" spans="2:12" x14ac:dyDescent="0.3">
      <c r="B3760" s="1"/>
      <c r="C3760" s="1"/>
      <c r="I3760" s="3"/>
      <c r="J3760" s="3"/>
      <c r="K3760" s="3"/>
      <c r="L3760" s="3"/>
    </row>
    <row r="3761" spans="2:12" x14ac:dyDescent="0.3">
      <c r="B3761" s="1"/>
      <c r="C3761" s="1"/>
      <c r="I3761" s="3"/>
      <c r="J3761" s="3"/>
      <c r="K3761" s="3"/>
      <c r="L3761" s="3"/>
    </row>
    <row r="3762" spans="2:12" x14ac:dyDescent="0.3">
      <c r="B3762" s="1"/>
      <c r="C3762" s="1"/>
      <c r="I3762" s="3"/>
      <c r="J3762" s="3"/>
      <c r="K3762" s="3"/>
      <c r="L3762" s="3"/>
    </row>
    <row r="3763" spans="2:12" x14ac:dyDescent="0.3">
      <c r="B3763" s="1"/>
      <c r="C3763" s="1"/>
      <c r="I3763" s="3"/>
      <c r="J3763" s="3"/>
      <c r="K3763" s="3"/>
      <c r="L3763" s="3"/>
    </row>
    <row r="3764" spans="2:12" x14ac:dyDescent="0.3">
      <c r="B3764" s="1"/>
      <c r="C3764" s="1"/>
      <c r="I3764" s="3"/>
      <c r="J3764" s="3"/>
      <c r="K3764" s="3"/>
      <c r="L3764" s="3"/>
    </row>
    <row r="3765" spans="2:12" x14ac:dyDescent="0.3">
      <c r="B3765" s="1"/>
      <c r="C3765" s="1"/>
      <c r="I3765" s="3"/>
      <c r="J3765" s="3"/>
      <c r="K3765" s="3"/>
      <c r="L3765" s="3"/>
    </row>
    <row r="3766" spans="2:12" x14ac:dyDescent="0.3">
      <c r="B3766" s="1"/>
      <c r="C3766" s="1"/>
      <c r="I3766" s="3"/>
      <c r="J3766" s="3"/>
      <c r="K3766" s="3"/>
      <c r="L3766" s="3"/>
    </row>
    <row r="3767" spans="2:12" x14ac:dyDescent="0.3">
      <c r="B3767" s="1"/>
      <c r="C3767" s="1"/>
      <c r="I3767" s="3"/>
      <c r="J3767" s="3"/>
      <c r="K3767" s="3"/>
      <c r="L3767" s="3"/>
    </row>
    <row r="3768" spans="2:12" x14ac:dyDescent="0.3">
      <c r="B3768" s="1"/>
      <c r="C3768" s="1"/>
      <c r="I3768" s="3"/>
      <c r="J3768" s="3"/>
      <c r="K3768" s="3"/>
      <c r="L3768" s="3"/>
    </row>
    <row r="3769" spans="2:12" x14ac:dyDescent="0.3">
      <c r="B3769" s="1"/>
      <c r="C3769" s="1"/>
      <c r="I3769" s="3"/>
      <c r="J3769" s="3"/>
      <c r="K3769" s="3"/>
      <c r="L3769" s="3"/>
    </row>
    <row r="3770" spans="2:12" x14ac:dyDescent="0.3">
      <c r="B3770" s="1"/>
      <c r="C3770" s="1"/>
      <c r="I3770" s="3"/>
      <c r="J3770" s="3"/>
      <c r="K3770" s="3"/>
      <c r="L3770" s="3"/>
    </row>
    <row r="3771" spans="2:12" x14ac:dyDescent="0.3">
      <c r="B3771" s="1"/>
      <c r="C3771" s="1"/>
      <c r="I3771" s="3"/>
      <c r="J3771" s="3"/>
      <c r="K3771" s="3"/>
      <c r="L3771" s="3"/>
    </row>
    <row r="3772" spans="2:12" x14ac:dyDescent="0.3">
      <c r="B3772" s="1"/>
      <c r="C3772" s="1"/>
      <c r="I3772" s="3"/>
      <c r="J3772" s="3"/>
      <c r="K3772" s="3"/>
      <c r="L3772" s="3"/>
    </row>
    <row r="3773" spans="2:12" x14ac:dyDescent="0.3">
      <c r="B3773" s="1"/>
      <c r="C3773" s="1"/>
      <c r="I3773" s="3"/>
      <c r="J3773" s="3"/>
      <c r="K3773" s="3"/>
      <c r="L3773" s="3"/>
    </row>
    <row r="3774" spans="2:12" x14ac:dyDescent="0.3">
      <c r="B3774" s="1"/>
      <c r="C3774" s="1"/>
      <c r="I3774" s="3"/>
      <c r="J3774" s="3"/>
      <c r="K3774" s="3"/>
      <c r="L3774" s="3"/>
    </row>
    <row r="3775" spans="2:12" x14ac:dyDescent="0.3">
      <c r="B3775" s="1"/>
      <c r="C3775" s="1"/>
      <c r="I3775" s="3"/>
      <c r="J3775" s="3"/>
      <c r="K3775" s="3"/>
      <c r="L3775" s="3"/>
    </row>
    <row r="3776" spans="2:12" x14ac:dyDescent="0.3">
      <c r="B3776" s="1"/>
      <c r="C3776" s="1"/>
      <c r="I3776" s="3"/>
      <c r="J3776" s="3"/>
      <c r="K3776" s="3"/>
      <c r="L3776" s="3"/>
    </row>
    <row r="3777" spans="2:12" x14ac:dyDescent="0.3">
      <c r="B3777" s="1"/>
      <c r="C3777" s="1"/>
      <c r="I3777" s="3"/>
      <c r="J3777" s="3"/>
      <c r="K3777" s="3"/>
      <c r="L3777" s="3"/>
    </row>
    <row r="3778" spans="2:12" x14ac:dyDescent="0.3">
      <c r="B3778" s="1"/>
      <c r="C3778" s="1"/>
      <c r="I3778" s="3"/>
      <c r="J3778" s="3"/>
      <c r="K3778" s="3"/>
      <c r="L3778" s="3"/>
    </row>
    <row r="3779" spans="2:12" x14ac:dyDescent="0.3">
      <c r="B3779" s="1"/>
      <c r="C3779" s="1"/>
      <c r="I3779" s="3"/>
      <c r="J3779" s="3"/>
      <c r="K3779" s="3"/>
      <c r="L3779" s="3"/>
    </row>
    <row r="3780" spans="2:12" x14ac:dyDescent="0.3">
      <c r="B3780" s="1"/>
      <c r="C3780" s="1"/>
      <c r="I3780" s="3"/>
      <c r="J3780" s="3"/>
      <c r="K3780" s="3"/>
      <c r="L3780" s="3"/>
    </row>
    <row r="3781" spans="2:12" x14ac:dyDescent="0.3">
      <c r="B3781" s="1"/>
      <c r="C3781" s="1"/>
      <c r="I3781" s="3"/>
      <c r="J3781" s="3"/>
      <c r="K3781" s="3"/>
      <c r="L3781" s="3"/>
    </row>
    <row r="3782" spans="2:12" x14ac:dyDescent="0.3">
      <c r="B3782" s="1"/>
      <c r="C3782" s="1"/>
      <c r="I3782" s="3"/>
      <c r="J3782" s="3"/>
      <c r="K3782" s="3"/>
      <c r="L3782" s="3"/>
    </row>
    <row r="3783" spans="2:12" x14ac:dyDescent="0.3">
      <c r="B3783" s="1"/>
      <c r="C3783" s="1"/>
      <c r="I3783" s="3"/>
      <c r="J3783" s="3"/>
      <c r="K3783" s="3"/>
      <c r="L3783" s="3"/>
    </row>
    <row r="3784" spans="2:12" x14ac:dyDescent="0.3">
      <c r="B3784" s="1"/>
      <c r="C3784" s="1"/>
      <c r="I3784" s="3"/>
      <c r="J3784" s="3"/>
      <c r="K3784" s="3"/>
      <c r="L3784" s="3"/>
    </row>
    <row r="3785" spans="2:12" x14ac:dyDescent="0.3">
      <c r="B3785" s="1"/>
      <c r="C3785" s="1"/>
      <c r="I3785" s="3"/>
      <c r="J3785" s="3"/>
      <c r="K3785" s="3"/>
      <c r="L3785" s="3"/>
    </row>
    <row r="3786" spans="2:12" x14ac:dyDescent="0.3">
      <c r="B3786" s="1"/>
      <c r="C3786" s="1"/>
      <c r="I3786" s="3"/>
      <c r="J3786" s="3"/>
      <c r="K3786" s="3"/>
      <c r="L3786" s="3"/>
    </row>
    <row r="3787" spans="2:12" x14ac:dyDescent="0.3">
      <c r="B3787" s="1"/>
      <c r="C3787" s="1"/>
      <c r="I3787" s="3"/>
      <c r="J3787" s="3"/>
      <c r="K3787" s="3"/>
      <c r="L3787" s="3"/>
    </row>
    <row r="3788" spans="2:12" x14ac:dyDescent="0.3">
      <c r="B3788" s="1"/>
      <c r="C3788" s="1"/>
      <c r="I3788" s="3"/>
      <c r="J3788" s="3"/>
      <c r="K3788" s="3"/>
      <c r="L3788" s="3"/>
    </row>
    <row r="3789" spans="2:12" x14ac:dyDescent="0.3">
      <c r="B3789" s="1"/>
      <c r="C3789" s="1"/>
      <c r="I3789" s="3"/>
      <c r="J3789" s="3"/>
      <c r="K3789" s="3"/>
      <c r="L3789" s="3"/>
    </row>
    <row r="3790" spans="2:12" x14ac:dyDescent="0.3">
      <c r="B3790" s="1"/>
      <c r="C3790" s="1"/>
      <c r="I3790" s="3"/>
      <c r="J3790" s="3"/>
      <c r="K3790" s="3"/>
      <c r="L3790" s="3"/>
    </row>
    <row r="3791" spans="2:12" x14ac:dyDescent="0.3">
      <c r="B3791" s="1"/>
      <c r="C3791" s="1"/>
      <c r="I3791" s="3"/>
      <c r="J3791" s="3"/>
      <c r="K3791" s="3"/>
      <c r="L3791" s="3"/>
    </row>
    <row r="3792" spans="2:12" x14ac:dyDescent="0.3">
      <c r="B3792" s="1"/>
      <c r="C3792" s="1"/>
      <c r="I3792" s="3"/>
      <c r="J3792" s="3"/>
      <c r="K3792" s="3"/>
      <c r="L3792" s="3"/>
    </row>
    <row r="3793" spans="2:12" x14ac:dyDescent="0.3">
      <c r="B3793" s="1"/>
      <c r="C3793" s="1"/>
      <c r="I3793" s="3"/>
      <c r="J3793" s="3"/>
      <c r="K3793" s="3"/>
      <c r="L3793" s="3"/>
    </row>
    <row r="3794" spans="2:12" x14ac:dyDescent="0.3">
      <c r="B3794" s="1"/>
      <c r="C3794" s="1"/>
      <c r="I3794" s="3"/>
      <c r="J3794" s="3"/>
      <c r="K3794" s="3"/>
      <c r="L3794" s="3"/>
    </row>
    <row r="3795" spans="2:12" x14ac:dyDescent="0.3">
      <c r="B3795" s="1"/>
      <c r="C3795" s="1"/>
      <c r="I3795" s="3"/>
      <c r="J3795" s="3"/>
      <c r="K3795" s="3"/>
      <c r="L3795" s="3"/>
    </row>
    <row r="3796" spans="2:12" x14ac:dyDescent="0.3">
      <c r="B3796" s="1"/>
      <c r="C3796" s="1"/>
      <c r="I3796" s="3"/>
      <c r="J3796" s="3"/>
      <c r="K3796" s="3"/>
      <c r="L3796" s="3"/>
    </row>
    <row r="3797" spans="2:12" x14ac:dyDescent="0.3">
      <c r="B3797" s="1"/>
      <c r="C3797" s="1"/>
      <c r="I3797" s="3"/>
      <c r="J3797" s="3"/>
      <c r="K3797" s="3"/>
      <c r="L3797" s="3"/>
    </row>
    <row r="3798" spans="2:12" x14ac:dyDescent="0.3">
      <c r="B3798" s="1"/>
      <c r="C3798" s="1"/>
      <c r="I3798" s="3"/>
      <c r="J3798" s="3"/>
      <c r="K3798" s="3"/>
      <c r="L3798" s="3"/>
    </row>
    <row r="3799" spans="2:12" x14ac:dyDescent="0.3">
      <c r="B3799" s="1"/>
      <c r="C3799" s="1"/>
      <c r="I3799" s="3"/>
      <c r="J3799" s="3"/>
      <c r="K3799" s="3"/>
      <c r="L3799" s="3"/>
    </row>
    <row r="3800" spans="2:12" x14ac:dyDescent="0.3">
      <c r="B3800" s="1"/>
      <c r="C3800" s="1"/>
      <c r="I3800" s="3"/>
      <c r="J3800" s="3"/>
      <c r="K3800" s="3"/>
      <c r="L3800" s="3"/>
    </row>
    <row r="3801" spans="2:12" x14ac:dyDescent="0.3">
      <c r="B3801" s="1"/>
      <c r="C3801" s="1"/>
      <c r="I3801" s="3"/>
      <c r="J3801" s="3"/>
      <c r="K3801" s="3"/>
      <c r="L3801" s="3"/>
    </row>
    <row r="3802" spans="2:12" x14ac:dyDescent="0.3">
      <c r="B3802" s="1"/>
      <c r="C3802" s="1"/>
      <c r="I3802" s="3"/>
      <c r="J3802" s="3"/>
      <c r="K3802" s="3"/>
      <c r="L3802" s="3"/>
    </row>
    <row r="3803" spans="2:12" x14ac:dyDescent="0.3">
      <c r="B3803" s="1"/>
      <c r="C3803" s="1"/>
      <c r="I3803" s="3"/>
      <c r="J3803" s="3"/>
      <c r="K3803" s="3"/>
      <c r="L3803" s="3"/>
    </row>
    <row r="3804" spans="2:12" x14ac:dyDescent="0.3">
      <c r="B3804" s="1"/>
      <c r="C3804" s="1"/>
      <c r="I3804" s="3"/>
      <c r="J3804" s="3"/>
      <c r="K3804" s="3"/>
      <c r="L3804" s="3"/>
    </row>
    <row r="3805" spans="2:12" x14ac:dyDescent="0.3">
      <c r="B3805" s="1"/>
      <c r="C3805" s="1"/>
      <c r="I3805" s="3"/>
      <c r="J3805" s="3"/>
      <c r="K3805" s="3"/>
      <c r="L3805" s="3"/>
    </row>
    <row r="3806" spans="2:12" x14ac:dyDescent="0.3">
      <c r="B3806" s="1"/>
      <c r="C3806" s="1"/>
      <c r="I3806" s="3"/>
      <c r="J3806" s="3"/>
      <c r="K3806" s="3"/>
      <c r="L3806" s="3"/>
    </row>
    <row r="3807" spans="2:12" x14ac:dyDescent="0.3">
      <c r="B3807" s="1"/>
      <c r="C3807" s="1"/>
      <c r="I3807" s="3"/>
      <c r="J3807" s="3"/>
      <c r="K3807" s="3"/>
      <c r="L3807" s="3"/>
    </row>
    <row r="3808" spans="2:12" x14ac:dyDescent="0.3">
      <c r="B3808" s="1"/>
      <c r="C3808" s="1"/>
      <c r="I3808" s="3"/>
      <c r="J3808" s="3"/>
      <c r="K3808" s="3"/>
      <c r="L3808" s="3"/>
    </row>
    <row r="3809" spans="2:12" x14ac:dyDescent="0.3">
      <c r="B3809" s="1"/>
      <c r="C3809" s="1"/>
      <c r="I3809" s="3"/>
      <c r="J3809" s="3"/>
      <c r="K3809" s="3"/>
      <c r="L3809" s="3"/>
    </row>
    <row r="3810" spans="2:12" x14ac:dyDescent="0.3">
      <c r="B3810" s="1"/>
      <c r="C3810" s="1"/>
      <c r="I3810" s="3"/>
      <c r="J3810" s="3"/>
      <c r="K3810" s="3"/>
      <c r="L3810" s="3"/>
    </row>
    <row r="3811" spans="2:12" x14ac:dyDescent="0.3">
      <c r="B3811" s="1"/>
      <c r="C3811" s="1"/>
      <c r="I3811" s="3"/>
      <c r="J3811" s="3"/>
      <c r="K3811" s="3"/>
      <c r="L3811" s="3"/>
    </row>
    <row r="3812" spans="2:12" x14ac:dyDescent="0.3">
      <c r="B3812" s="1"/>
      <c r="C3812" s="1"/>
      <c r="I3812" s="3"/>
      <c r="J3812" s="3"/>
      <c r="K3812" s="3"/>
      <c r="L3812" s="3"/>
    </row>
    <row r="3813" spans="2:12" x14ac:dyDescent="0.3">
      <c r="B3813" s="1"/>
      <c r="C3813" s="1"/>
      <c r="I3813" s="3"/>
      <c r="J3813" s="3"/>
      <c r="K3813" s="3"/>
      <c r="L3813" s="3"/>
    </row>
    <row r="3814" spans="2:12" x14ac:dyDescent="0.3">
      <c r="B3814" s="1"/>
      <c r="C3814" s="1"/>
      <c r="I3814" s="3"/>
      <c r="J3814" s="3"/>
      <c r="K3814" s="3"/>
      <c r="L3814" s="3"/>
    </row>
    <row r="3815" spans="2:12" x14ac:dyDescent="0.3">
      <c r="B3815" s="1"/>
      <c r="C3815" s="1"/>
      <c r="I3815" s="3"/>
      <c r="J3815" s="3"/>
      <c r="K3815" s="3"/>
      <c r="L3815" s="3"/>
    </row>
    <row r="3816" spans="2:12" x14ac:dyDescent="0.3">
      <c r="B3816" s="1"/>
      <c r="C3816" s="1"/>
      <c r="I3816" s="3"/>
      <c r="J3816" s="3"/>
      <c r="K3816" s="3"/>
      <c r="L3816" s="3"/>
    </row>
    <row r="3817" spans="2:12" x14ac:dyDescent="0.3">
      <c r="B3817" s="1"/>
      <c r="C3817" s="1"/>
      <c r="I3817" s="3"/>
      <c r="J3817" s="3"/>
      <c r="K3817" s="3"/>
      <c r="L3817" s="3"/>
    </row>
    <row r="3818" spans="2:12" x14ac:dyDescent="0.3">
      <c r="B3818" s="1"/>
      <c r="C3818" s="1"/>
      <c r="I3818" s="3"/>
      <c r="J3818" s="3"/>
      <c r="K3818" s="3"/>
      <c r="L3818" s="3"/>
    </row>
    <row r="3819" spans="2:12" x14ac:dyDescent="0.3">
      <c r="B3819" s="1"/>
      <c r="C3819" s="1"/>
      <c r="I3819" s="3"/>
      <c r="J3819" s="3"/>
      <c r="K3819" s="3"/>
      <c r="L3819" s="3"/>
    </row>
    <row r="3820" spans="2:12" x14ac:dyDescent="0.3">
      <c r="B3820" s="1"/>
      <c r="C3820" s="1"/>
      <c r="I3820" s="3"/>
      <c r="J3820" s="3"/>
      <c r="K3820" s="3"/>
      <c r="L3820" s="3"/>
    </row>
    <row r="3821" spans="2:12" x14ac:dyDescent="0.3">
      <c r="B3821" s="1"/>
      <c r="C3821" s="1"/>
      <c r="I3821" s="3"/>
      <c r="J3821" s="3"/>
      <c r="K3821" s="3"/>
      <c r="L3821" s="3"/>
    </row>
    <row r="3822" spans="2:12" x14ac:dyDescent="0.3">
      <c r="B3822" s="1"/>
      <c r="C3822" s="1"/>
      <c r="I3822" s="3"/>
      <c r="J3822" s="3"/>
      <c r="K3822" s="3"/>
      <c r="L3822" s="3"/>
    </row>
    <row r="3823" spans="2:12" x14ac:dyDescent="0.3">
      <c r="B3823" s="1"/>
      <c r="C3823" s="1"/>
      <c r="I3823" s="3"/>
      <c r="J3823" s="3"/>
      <c r="K3823" s="3"/>
      <c r="L3823" s="3"/>
    </row>
    <row r="3824" spans="2:12" x14ac:dyDescent="0.3">
      <c r="B3824" s="1"/>
      <c r="C3824" s="1"/>
      <c r="I3824" s="3"/>
      <c r="J3824" s="3"/>
      <c r="K3824" s="3"/>
      <c r="L3824" s="3"/>
    </row>
    <row r="3825" spans="2:12" x14ac:dyDescent="0.3">
      <c r="B3825" s="1"/>
      <c r="C3825" s="1"/>
      <c r="I3825" s="3"/>
      <c r="J3825" s="3"/>
      <c r="K3825" s="3"/>
      <c r="L3825" s="3"/>
    </row>
    <row r="3826" spans="2:12" x14ac:dyDescent="0.3">
      <c r="B3826" s="1"/>
      <c r="C3826" s="1"/>
      <c r="I3826" s="3"/>
      <c r="J3826" s="3"/>
      <c r="K3826" s="3"/>
      <c r="L3826" s="3"/>
    </row>
    <row r="3827" spans="2:12" x14ac:dyDescent="0.3">
      <c r="B3827" s="1"/>
      <c r="C3827" s="1"/>
      <c r="I3827" s="3"/>
      <c r="J3827" s="3"/>
      <c r="K3827" s="3"/>
      <c r="L3827" s="3"/>
    </row>
    <row r="3828" spans="2:12" x14ac:dyDescent="0.3">
      <c r="B3828" s="1"/>
      <c r="C3828" s="1"/>
      <c r="I3828" s="3"/>
      <c r="J3828" s="3"/>
      <c r="K3828" s="3"/>
      <c r="L3828" s="3"/>
    </row>
    <row r="3829" spans="2:12" x14ac:dyDescent="0.3">
      <c r="B3829" s="1"/>
      <c r="C3829" s="1"/>
      <c r="I3829" s="3"/>
      <c r="J3829" s="3"/>
      <c r="K3829" s="3"/>
      <c r="L3829" s="3"/>
    </row>
    <row r="3830" spans="2:12" x14ac:dyDescent="0.3">
      <c r="B3830" s="1"/>
      <c r="C3830" s="1"/>
      <c r="I3830" s="3"/>
      <c r="J3830" s="3"/>
      <c r="K3830" s="3"/>
      <c r="L3830" s="3"/>
    </row>
    <row r="3831" spans="2:12" x14ac:dyDescent="0.3">
      <c r="B3831" s="1"/>
      <c r="C3831" s="1"/>
      <c r="I3831" s="3"/>
      <c r="J3831" s="3"/>
      <c r="K3831" s="3"/>
      <c r="L3831" s="3"/>
    </row>
    <row r="3832" spans="2:12" x14ac:dyDescent="0.3">
      <c r="B3832" s="1"/>
      <c r="C3832" s="1"/>
      <c r="I3832" s="3"/>
      <c r="J3832" s="3"/>
      <c r="K3832" s="3"/>
      <c r="L3832" s="3"/>
    </row>
    <row r="3833" spans="2:12" x14ac:dyDescent="0.3">
      <c r="B3833" s="1"/>
      <c r="C3833" s="1"/>
      <c r="I3833" s="3"/>
      <c r="J3833" s="3"/>
      <c r="K3833" s="3"/>
      <c r="L3833" s="3"/>
    </row>
    <row r="3834" spans="2:12" x14ac:dyDescent="0.3">
      <c r="B3834" s="1"/>
      <c r="C3834" s="1"/>
      <c r="I3834" s="3"/>
      <c r="J3834" s="3"/>
      <c r="K3834" s="3"/>
      <c r="L3834" s="3"/>
    </row>
    <row r="3835" spans="2:12" x14ac:dyDescent="0.3">
      <c r="B3835" s="1"/>
      <c r="C3835" s="1"/>
      <c r="I3835" s="3"/>
      <c r="J3835" s="3"/>
      <c r="K3835" s="3"/>
      <c r="L3835" s="3"/>
    </row>
    <row r="3836" spans="2:12" x14ac:dyDescent="0.3">
      <c r="B3836" s="1"/>
      <c r="C3836" s="1"/>
      <c r="I3836" s="3"/>
      <c r="J3836" s="3"/>
      <c r="K3836" s="3"/>
      <c r="L3836" s="3"/>
    </row>
    <row r="3837" spans="2:12" x14ac:dyDescent="0.3">
      <c r="B3837" s="1"/>
      <c r="C3837" s="1"/>
      <c r="I3837" s="3"/>
      <c r="J3837" s="3"/>
      <c r="K3837" s="3"/>
      <c r="L3837" s="3"/>
    </row>
    <row r="3838" spans="2:12" x14ac:dyDescent="0.3">
      <c r="B3838" s="1"/>
      <c r="C3838" s="1"/>
      <c r="I3838" s="3"/>
      <c r="J3838" s="3"/>
      <c r="K3838" s="3"/>
      <c r="L3838" s="3"/>
    </row>
    <row r="3839" spans="2:12" x14ac:dyDescent="0.3">
      <c r="B3839" s="1"/>
      <c r="C3839" s="1"/>
      <c r="I3839" s="3"/>
      <c r="J3839" s="3"/>
      <c r="K3839" s="3"/>
      <c r="L3839" s="3"/>
    </row>
    <row r="3840" spans="2:12" x14ac:dyDescent="0.3">
      <c r="B3840" s="1"/>
      <c r="C3840" s="1"/>
      <c r="I3840" s="3"/>
      <c r="J3840" s="3"/>
      <c r="K3840" s="3"/>
      <c r="L3840" s="3"/>
    </row>
    <row r="3841" spans="2:12" x14ac:dyDescent="0.3">
      <c r="B3841" s="1"/>
      <c r="C3841" s="1"/>
      <c r="I3841" s="3"/>
      <c r="J3841" s="3"/>
      <c r="K3841" s="3"/>
      <c r="L3841" s="3"/>
    </row>
    <row r="3842" spans="2:12" x14ac:dyDescent="0.3">
      <c r="B3842" s="1"/>
      <c r="C3842" s="1"/>
      <c r="I3842" s="3"/>
      <c r="J3842" s="3"/>
      <c r="K3842" s="3"/>
      <c r="L3842" s="3"/>
    </row>
    <row r="3843" spans="2:12" x14ac:dyDescent="0.3">
      <c r="B3843" s="1"/>
      <c r="C3843" s="1"/>
      <c r="I3843" s="3"/>
      <c r="J3843" s="3"/>
      <c r="K3843" s="3"/>
      <c r="L3843" s="3"/>
    </row>
    <row r="3844" spans="2:12" x14ac:dyDescent="0.3">
      <c r="B3844" s="1"/>
      <c r="C3844" s="1"/>
      <c r="I3844" s="3"/>
      <c r="J3844" s="3"/>
      <c r="K3844" s="3"/>
      <c r="L3844" s="3"/>
    </row>
    <row r="3845" spans="2:12" x14ac:dyDescent="0.3">
      <c r="B3845" s="1"/>
      <c r="C3845" s="1"/>
      <c r="I3845" s="3"/>
      <c r="J3845" s="3"/>
      <c r="K3845" s="3"/>
      <c r="L3845" s="3"/>
    </row>
    <row r="3846" spans="2:12" x14ac:dyDescent="0.3">
      <c r="B3846" s="1"/>
      <c r="C3846" s="1"/>
      <c r="I3846" s="3"/>
      <c r="J3846" s="3"/>
      <c r="K3846" s="3"/>
      <c r="L3846" s="3"/>
    </row>
    <row r="3847" spans="2:12" x14ac:dyDescent="0.3">
      <c r="B3847" s="1"/>
      <c r="C3847" s="1"/>
      <c r="I3847" s="3"/>
      <c r="J3847" s="3"/>
      <c r="K3847" s="3"/>
      <c r="L3847" s="3"/>
    </row>
    <row r="3848" spans="2:12" x14ac:dyDescent="0.3">
      <c r="B3848" s="1"/>
      <c r="C3848" s="1"/>
      <c r="I3848" s="3"/>
      <c r="J3848" s="3"/>
      <c r="K3848" s="3"/>
      <c r="L3848" s="3"/>
    </row>
    <row r="3849" spans="2:12" x14ac:dyDescent="0.3">
      <c r="B3849" s="1"/>
      <c r="C3849" s="1"/>
      <c r="I3849" s="3"/>
      <c r="J3849" s="3"/>
      <c r="K3849" s="3"/>
      <c r="L3849" s="3"/>
    </row>
    <row r="3850" spans="2:12" x14ac:dyDescent="0.3">
      <c r="B3850" s="1"/>
      <c r="C3850" s="1"/>
      <c r="I3850" s="3"/>
      <c r="J3850" s="3"/>
      <c r="K3850" s="3"/>
      <c r="L3850" s="3"/>
    </row>
    <row r="3851" spans="2:12" x14ac:dyDescent="0.3">
      <c r="B3851" s="1"/>
      <c r="C3851" s="1"/>
      <c r="I3851" s="3"/>
      <c r="J3851" s="3"/>
      <c r="K3851" s="3"/>
      <c r="L3851" s="3"/>
    </row>
    <row r="3852" spans="2:12" x14ac:dyDescent="0.3">
      <c r="B3852" s="1"/>
      <c r="C3852" s="1"/>
      <c r="I3852" s="3"/>
      <c r="J3852" s="3"/>
      <c r="K3852" s="3"/>
      <c r="L3852" s="3"/>
    </row>
    <row r="3853" spans="2:12" x14ac:dyDescent="0.3">
      <c r="B3853" s="1"/>
      <c r="C3853" s="1"/>
      <c r="I3853" s="3"/>
      <c r="J3853" s="3"/>
      <c r="K3853" s="3"/>
      <c r="L3853" s="3"/>
    </row>
    <row r="3854" spans="2:12" x14ac:dyDescent="0.3">
      <c r="B3854" s="1"/>
      <c r="C3854" s="1"/>
      <c r="I3854" s="3"/>
      <c r="J3854" s="3"/>
      <c r="K3854" s="3"/>
      <c r="L3854" s="3"/>
    </row>
    <row r="3855" spans="2:12" x14ac:dyDescent="0.3">
      <c r="B3855" s="1"/>
      <c r="C3855" s="1"/>
      <c r="I3855" s="3"/>
      <c r="J3855" s="3"/>
      <c r="K3855" s="3"/>
      <c r="L3855" s="3"/>
    </row>
    <row r="3856" spans="2:12" x14ac:dyDescent="0.3">
      <c r="B3856" s="1"/>
      <c r="C3856" s="1"/>
      <c r="I3856" s="3"/>
      <c r="J3856" s="3"/>
      <c r="K3856" s="3"/>
      <c r="L3856" s="3"/>
    </row>
    <row r="3857" spans="2:12" x14ac:dyDescent="0.3">
      <c r="B3857" s="1"/>
      <c r="C3857" s="1"/>
      <c r="I3857" s="3"/>
      <c r="J3857" s="3"/>
      <c r="K3857" s="3"/>
      <c r="L3857" s="3"/>
    </row>
    <row r="3858" spans="2:12" x14ac:dyDescent="0.3">
      <c r="B3858" s="1"/>
      <c r="C3858" s="1"/>
      <c r="I3858" s="3"/>
      <c r="J3858" s="3"/>
      <c r="K3858" s="3"/>
      <c r="L3858" s="3"/>
    </row>
    <row r="3859" spans="2:12" x14ac:dyDescent="0.3">
      <c r="B3859" s="1"/>
      <c r="C3859" s="1"/>
      <c r="I3859" s="3"/>
      <c r="J3859" s="3"/>
      <c r="K3859" s="3"/>
      <c r="L3859" s="3"/>
    </row>
    <row r="3860" spans="2:12" x14ac:dyDescent="0.3">
      <c r="B3860" s="1"/>
      <c r="C3860" s="1"/>
      <c r="I3860" s="3"/>
      <c r="J3860" s="3"/>
      <c r="K3860" s="3"/>
      <c r="L3860" s="3"/>
    </row>
    <row r="3861" spans="2:12" x14ac:dyDescent="0.3">
      <c r="B3861" s="1"/>
      <c r="C3861" s="1"/>
      <c r="I3861" s="3"/>
      <c r="J3861" s="3"/>
      <c r="K3861" s="3"/>
      <c r="L3861" s="3"/>
    </row>
    <row r="3862" spans="2:12" x14ac:dyDescent="0.3">
      <c r="B3862" s="1"/>
      <c r="C3862" s="1"/>
      <c r="I3862" s="3"/>
      <c r="J3862" s="3"/>
      <c r="K3862" s="3"/>
      <c r="L3862" s="3"/>
    </row>
    <row r="3863" spans="2:12" x14ac:dyDescent="0.3">
      <c r="B3863" s="1"/>
      <c r="C3863" s="1"/>
      <c r="I3863" s="3"/>
      <c r="J3863" s="3"/>
      <c r="K3863" s="3"/>
      <c r="L3863" s="3"/>
    </row>
    <row r="3864" spans="2:12" x14ac:dyDescent="0.3">
      <c r="B3864" s="1"/>
      <c r="C3864" s="1"/>
      <c r="I3864" s="3"/>
      <c r="J3864" s="3"/>
      <c r="K3864" s="3"/>
      <c r="L3864" s="3"/>
    </row>
    <row r="3865" spans="2:12" x14ac:dyDescent="0.3">
      <c r="B3865" s="1"/>
      <c r="C3865" s="1"/>
      <c r="I3865" s="3"/>
      <c r="J3865" s="3"/>
      <c r="K3865" s="3"/>
      <c r="L3865" s="3"/>
    </row>
    <row r="3866" spans="2:12" x14ac:dyDescent="0.3">
      <c r="B3866" s="1"/>
      <c r="C3866" s="1"/>
      <c r="I3866" s="3"/>
      <c r="J3866" s="3"/>
      <c r="K3866" s="3"/>
      <c r="L3866" s="3"/>
    </row>
    <row r="3867" spans="2:12" x14ac:dyDescent="0.3">
      <c r="B3867" s="1"/>
      <c r="C3867" s="1"/>
      <c r="I3867" s="3"/>
      <c r="J3867" s="3"/>
      <c r="K3867" s="3"/>
      <c r="L3867" s="3"/>
    </row>
    <row r="3868" spans="2:12" x14ac:dyDescent="0.3">
      <c r="B3868" s="1"/>
      <c r="C3868" s="1"/>
      <c r="I3868" s="3"/>
      <c r="J3868" s="3"/>
      <c r="K3868" s="3"/>
      <c r="L3868" s="3"/>
    </row>
    <row r="3869" spans="2:12" x14ac:dyDescent="0.3">
      <c r="B3869" s="1"/>
      <c r="C3869" s="1"/>
      <c r="I3869" s="3"/>
      <c r="J3869" s="3"/>
      <c r="K3869" s="3"/>
      <c r="L3869" s="3"/>
    </row>
    <row r="3870" spans="2:12" x14ac:dyDescent="0.3">
      <c r="B3870" s="1"/>
      <c r="C3870" s="1"/>
      <c r="I3870" s="3"/>
      <c r="J3870" s="3"/>
      <c r="K3870" s="3"/>
      <c r="L3870" s="3"/>
    </row>
    <row r="3871" spans="2:12" x14ac:dyDescent="0.3">
      <c r="B3871" s="1"/>
      <c r="C3871" s="1"/>
      <c r="I3871" s="3"/>
      <c r="J3871" s="3"/>
      <c r="K3871" s="3"/>
      <c r="L3871" s="3"/>
    </row>
    <row r="3872" spans="2:12" x14ac:dyDescent="0.3">
      <c r="B3872" s="1"/>
      <c r="C3872" s="1"/>
      <c r="I3872" s="3"/>
      <c r="J3872" s="3"/>
      <c r="K3872" s="3"/>
      <c r="L3872" s="3"/>
    </row>
    <row r="3873" spans="2:12" x14ac:dyDescent="0.3">
      <c r="B3873" s="1"/>
      <c r="C3873" s="1"/>
      <c r="I3873" s="3"/>
      <c r="J3873" s="3"/>
      <c r="K3873" s="3"/>
      <c r="L3873" s="3"/>
    </row>
    <row r="3874" spans="2:12" x14ac:dyDescent="0.3">
      <c r="B3874" s="1"/>
      <c r="C3874" s="1"/>
      <c r="I3874" s="3"/>
      <c r="J3874" s="3"/>
      <c r="K3874" s="3"/>
      <c r="L3874" s="3"/>
    </row>
    <row r="3875" spans="2:12" x14ac:dyDescent="0.3">
      <c r="B3875" s="1"/>
      <c r="C3875" s="1"/>
      <c r="I3875" s="3"/>
      <c r="J3875" s="3"/>
      <c r="K3875" s="3"/>
      <c r="L3875" s="3"/>
    </row>
    <row r="3876" spans="2:12" x14ac:dyDescent="0.3">
      <c r="B3876" s="1"/>
      <c r="C3876" s="1"/>
      <c r="I3876" s="3"/>
      <c r="J3876" s="3"/>
      <c r="K3876" s="3"/>
      <c r="L3876" s="3"/>
    </row>
    <row r="3877" spans="2:12" x14ac:dyDescent="0.3">
      <c r="B3877" s="1"/>
      <c r="C3877" s="1"/>
      <c r="I3877" s="3"/>
      <c r="J3877" s="3"/>
      <c r="K3877" s="3"/>
      <c r="L3877" s="3"/>
    </row>
    <row r="3878" spans="2:12" x14ac:dyDescent="0.3">
      <c r="B3878" s="1"/>
      <c r="C3878" s="1"/>
      <c r="I3878" s="3"/>
      <c r="J3878" s="3"/>
      <c r="K3878" s="3"/>
      <c r="L3878" s="3"/>
    </row>
    <row r="3879" spans="2:12" x14ac:dyDescent="0.3">
      <c r="B3879" s="1"/>
      <c r="C3879" s="1"/>
      <c r="I3879" s="3"/>
      <c r="J3879" s="3"/>
      <c r="K3879" s="3"/>
      <c r="L3879" s="3"/>
    </row>
    <row r="3880" spans="2:12" x14ac:dyDescent="0.3">
      <c r="B3880" s="1"/>
      <c r="C3880" s="1"/>
      <c r="I3880" s="3"/>
      <c r="J3880" s="3"/>
      <c r="K3880" s="3"/>
      <c r="L3880" s="3"/>
    </row>
    <row r="3881" spans="2:12" x14ac:dyDescent="0.3">
      <c r="B3881" s="1"/>
      <c r="C3881" s="1"/>
      <c r="I3881" s="3"/>
      <c r="J3881" s="3"/>
      <c r="K3881" s="3"/>
      <c r="L3881" s="3"/>
    </row>
    <row r="3882" spans="2:12" x14ac:dyDescent="0.3">
      <c r="B3882" s="1"/>
      <c r="C3882" s="1"/>
      <c r="I3882" s="3"/>
      <c r="J3882" s="3"/>
      <c r="K3882" s="3"/>
      <c r="L3882" s="3"/>
    </row>
    <row r="3883" spans="2:12" x14ac:dyDescent="0.3">
      <c r="B3883" s="1"/>
      <c r="C3883" s="1"/>
      <c r="I3883" s="3"/>
      <c r="J3883" s="3"/>
      <c r="K3883" s="3"/>
      <c r="L3883" s="3"/>
    </row>
    <row r="3884" spans="2:12" x14ac:dyDescent="0.3">
      <c r="B3884" s="1"/>
      <c r="C3884" s="1"/>
      <c r="I3884" s="3"/>
      <c r="J3884" s="3"/>
      <c r="K3884" s="3"/>
      <c r="L3884" s="3"/>
    </row>
    <row r="3885" spans="2:12" x14ac:dyDescent="0.3">
      <c r="B3885" s="1"/>
      <c r="C3885" s="1"/>
      <c r="I3885" s="3"/>
      <c r="J3885" s="3"/>
      <c r="K3885" s="3"/>
      <c r="L3885" s="3"/>
    </row>
    <row r="3886" spans="2:12" x14ac:dyDescent="0.3">
      <c r="B3886" s="1"/>
      <c r="C3886" s="1"/>
      <c r="I3886" s="3"/>
      <c r="J3886" s="3"/>
      <c r="K3886" s="3"/>
      <c r="L3886" s="3"/>
    </row>
    <row r="3887" spans="2:12" x14ac:dyDescent="0.3">
      <c r="B3887" s="1"/>
      <c r="C3887" s="1"/>
      <c r="I3887" s="3"/>
      <c r="J3887" s="3"/>
      <c r="K3887" s="3"/>
      <c r="L3887" s="3"/>
    </row>
    <row r="3888" spans="2:12" x14ac:dyDescent="0.3">
      <c r="B3888" s="1"/>
      <c r="C3888" s="1"/>
      <c r="I3888" s="3"/>
      <c r="J3888" s="3"/>
      <c r="K3888" s="3"/>
      <c r="L3888" s="3"/>
    </row>
    <row r="3889" spans="2:12" x14ac:dyDescent="0.3">
      <c r="B3889" s="1"/>
      <c r="C3889" s="1"/>
      <c r="I3889" s="3"/>
      <c r="J3889" s="3"/>
      <c r="K3889" s="3"/>
      <c r="L3889" s="3"/>
    </row>
    <row r="3890" spans="2:12" x14ac:dyDescent="0.3">
      <c r="B3890" s="1"/>
      <c r="C3890" s="1"/>
      <c r="I3890" s="3"/>
      <c r="J3890" s="3"/>
      <c r="K3890" s="3"/>
      <c r="L3890" s="3"/>
    </row>
    <row r="3891" spans="2:12" x14ac:dyDescent="0.3">
      <c r="B3891" s="1"/>
      <c r="C3891" s="1"/>
      <c r="I3891" s="3"/>
      <c r="J3891" s="3"/>
      <c r="K3891" s="3"/>
      <c r="L3891" s="3"/>
    </row>
    <row r="3892" spans="2:12" x14ac:dyDescent="0.3">
      <c r="B3892" s="1"/>
      <c r="C3892" s="1"/>
      <c r="I3892" s="3"/>
      <c r="J3892" s="3"/>
      <c r="K3892" s="3"/>
      <c r="L3892" s="3"/>
    </row>
    <row r="3893" spans="2:12" x14ac:dyDescent="0.3">
      <c r="B3893" s="1"/>
      <c r="C3893" s="1"/>
      <c r="I3893" s="3"/>
      <c r="J3893" s="3"/>
      <c r="K3893" s="3"/>
      <c r="L3893" s="3"/>
    </row>
    <row r="3894" spans="2:12" x14ac:dyDescent="0.3">
      <c r="B3894" s="1"/>
      <c r="C3894" s="1"/>
      <c r="I3894" s="3"/>
      <c r="J3894" s="3"/>
      <c r="K3894" s="3"/>
      <c r="L3894" s="3"/>
    </row>
    <row r="3895" spans="2:12" x14ac:dyDescent="0.3">
      <c r="B3895" s="1"/>
      <c r="C3895" s="1"/>
      <c r="I3895" s="3"/>
      <c r="J3895" s="3"/>
      <c r="K3895" s="3"/>
      <c r="L3895" s="3"/>
    </row>
    <row r="3896" spans="2:12" x14ac:dyDescent="0.3">
      <c r="B3896" s="1"/>
      <c r="C3896" s="1"/>
      <c r="I3896" s="3"/>
      <c r="J3896" s="3"/>
      <c r="K3896" s="3"/>
      <c r="L3896" s="3"/>
    </row>
    <row r="3897" spans="2:12" x14ac:dyDescent="0.3">
      <c r="B3897" s="1"/>
      <c r="C3897" s="1"/>
      <c r="I3897" s="3"/>
      <c r="J3897" s="3"/>
      <c r="K3897" s="3"/>
      <c r="L3897" s="3"/>
    </row>
    <row r="3898" spans="2:12" x14ac:dyDescent="0.3">
      <c r="B3898" s="1"/>
      <c r="C3898" s="1"/>
      <c r="I3898" s="3"/>
      <c r="J3898" s="3"/>
      <c r="K3898" s="3"/>
      <c r="L3898" s="3"/>
    </row>
    <row r="3899" spans="2:12" x14ac:dyDescent="0.3">
      <c r="B3899" s="1"/>
      <c r="C3899" s="1"/>
      <c r="I3899" s="3"/>
      <c r="J3899" s="3"/>
      <c r="K3899" s="3"/>
      <c r="L3899" s="3"/>
    </row>
    <row r="3900" spans="2:12" x14ac:dyDescent="0.3">
      <c r="B3900" s="1"/>
      <c r="C3900" s="1"/>
      <c r="I3900" s="3"/>
      <c r="J3900" s="3"/>
      <c r="K3900" s="3"/>
      <c r="L3900" s="3"/>
    </row>
    <row r="3901" spans="2:12" x14ac:dyDescent="0.3">
      <c r="B3901" s="1"/>
      <c r="C3901" s="1"/>
      <c r="I3901" s="3"/>
      <c r="J3901" s="3"/>
      <c r="K3901" s="3"/>
      <c r="L3901" s="3"/>
    </row>
    <row r="3902" spans="2:12" x14ac:dyDescent="0.3">
      <c r="B3902" s="1"/>
      <c r="C3902" s="1"/>
      <c r="I3902" s="3"/>
      <c r="J3902" s="3"/>
      <c r="K3902" s="3"/>
      <c r="L3902" s="3"/>
    </row>
    <row r="3903" spans="2:12" x14ac:dyDescent="0.3">
      <c r="B3903" s="1"/>
      <c r="C3903" s="1"/>
      <c r="I3903" s="3"/>
      <c r="J3903" s="3"/>
      <c r="K3903" s="3"/>
      <c r="L3903" s="3"/>
    </row>
    <row r="3904" spans="2:12" x14ac:dyDescent="0.3">
      <c r="B3904" s="1"/>
      <c r="C3904" s="1"/>
      <c r="I3904" s="3"/>
      <c r="J3904" s="3"/>
      <c r="K3904" s="3"/>
      <c r="L3904" s="3"/>
    </row>
    <row r="3905" spans="2:12" x14ac:dyDescent="0.3">
      <c r="B3905" s="1"/>
      <c r="C3905" s="1"/>
      <c r="I3905" s="3"/>
      <c r="J3905" s="3"/>
      <c r="K3905" s="3"/>
      <c r="L3905" s="3"/>
    </row>
    <row r="3906" spans="2:12" x14ac:dyDescent="0.3">
      <c r="B3906" s="1"/>
      <c r="C3906" s="1"/>
      <c r="I3906" s="3"/>
      <c r="J3906" s="3"/>
      <c r="K3906" s="3"/>
      <c r="L3906" s="3"/>
    </row>
    <row r="3907" spans="2:12" x14ac:dyDescent="0.3">
      <c r="B3907" s="1"/>
      <c r="C3907" s="1"/>
      <c r="I3907" s="3"/>
      <c r="J3907" s="3"/>
      <c r="K3907" s="3"/>
      <c r="L3907" s="3"/>
    </row>
    <row r="3908" spans="2:12" x14ac:dyDescent="0.3">
      <c r="B3908" s="1"/>
      <c r="C3908" s="1"/>
      <c r="I3908" s="3"/>
      <c r="J3908" s="3"/>
      <c r="K3908" s="3"/>
      <c r="L3908" s="3"/>
    </row>
    <row r="3909" spans="2:12" x14ac:dyDescent="0.3">
      <c r="B3909" s="1"/>
      <c r="C3909" s="1"/>
      <c r="I3909" s="3"/>
      <c r="J3909" s="3"/>
      <c r="K3909" s="3"/>
      <c r="L3909" s="3"/>
    </row>
    <row r="3910" spans="2:12" x14ac:dyDescent="0.3">
      <c r="B3910" s="1"/>
      <c r="C3910" s="1"/>
      <c r="I3910" s="3"/>
      <c r="J3910" s="3"/>
      <c r="K3910" s="3"/>
      <c r="L3910" s="3"/>
    </row>
    <row r="3911" spans="2:12" x14ac:dyDescent="0.3">
      <c r="B3911" s="1"/>
      <c r="C3911" s="1"/>
      <c r="I3911" s="3"/>
      <c r="J3911" s="3"/>
      <c r="K3911" s="3"/>
      <c r="L3911" s="3"/>
    </row>
    <row r="3912" spans="2:12" x14ac:dyDescent="0.3">
      <c r="B3912" s="1"/>
      <c r="C3912" s="1"/>
      <c r="I3912" s="3"/>
      <c r="J3912" s="3"/>
      <c r="K3912" s="3"/>
      <c r="L3912" s="3"/>
    </row>
    <row r="3913" spans="2:12" x14ac:dyDescent="0.3">
      <c r="B3913" s="1"/>
      <c r="C3913" s="1"/>
      <c r="I3913" s="3"/>
      <c r="J3913" s="3"/>
      <c r="K3913" s="3"/>
      <c r="L3913" s="3"/>
    </row>
    <row r="3914" spans="2:12" x14ac:dyDescent="0.3">
      <c r="B3914" s="1"/>
      <c r="C3914" s="1"/>
      <c r="I3914" s="3"/>
      <c r="J3914" s="3"/>
      <c r="K3914" s="3"/>
      <c r="L3914" s="3"/>
    </row>
    <row r="3915" spans="2:12" x14ac:dyDescent="0.3">
      <c r="B3915" s="1"/>
      <c r="C3915" s="1"/>
      <c r="I3915" s="3"/>
      <c r="J3915" s="3"/>
      <c r="K3915" s="3"/>
      <c r="L3915" s="3"/>
    </row>
    <row r="3916" spans="2:12" x14ac:dyDescent="0.3">
      <c r="B3916" s="1"/>
      <c r="C3916" s="1"/>
      <c r="I3916" s="3"/>
      <c r="J3916" s="3"/>
      <c r="K3916" s="3"/>
      <c r="L3916" s="3"/>
    </row>
    <row r="3917" spans="2:12" x14ac:dyDescent="0.3">
      <c r="B3917" s="1"/>
      <c r="C3917" s="1"/>
      <c r="I3917" s="3"/>
      <c r="J3917" s="3"/>
      <c r="K3917" s="3"/>
      <c r="L3917" s="3"/>
    </row>
    <row r="3918" spans="2:12" x14ac:dyDescent="0.3">
      <c r="B3918" s="1"/>
      <c r="C3918" s="1"/>
      <c r="I3918" s="3"/>
      <c r="J3918" s="3"/>
      <c r="K3918" s="3"/>
      <c r="L3918" s="3"/>
    </row>
    <row r="3919" spans="2:12" x14ac:dyDescent="0.3">
      <c r="B3919" s="1"/>
      <c r="C3919" s="1"/>
      <c r="I3919" s="3"/>
      <c r="J3919" s="3"/>
      <c r="K3919" s="3"/>
      <c r="L3919" s="3"/>
    </row>
    <row r="3920" spans="2:12" x14ac:dyDescent="0.3">
      <c r="B3920" s="1"/>
      <c r="C3920" s="1"/>
      <c r="I3920" s="3"/>
      <c r="J3920" s="3"/>
      <c r="K3920" s="3"/>
      <c r="L3920" s="3"/>
    </row>
    <row r="3921" spans="2:12" x14ac:dyDescent="0.3">
      <c r="B3921" s="1"/>
      <c r="C3921" s="1"/>
      <c r="I3921" s="3"/>
      <c r="J3921" s="3"/>
      <c r="K3921" s="3"/>
      <c r="L3921" s="3"/>
    </row>
    <row r="3922" spans="2:12" x14ac:dyDescent="0.3">
      <c r="B3922" s="1"/>
      <c r="C3922" s="1"/>
      <c r="I3922" s="3"/>
      <c r="J3922" s="3"/>
      <c r="K3922" s="3"/>
      <c r="L3922" s="3"/>
    </row>
    <row r="3923" spans="2:12" x14ac:dyDescent="0.3">
      <c r="B3923" s="1"/>
      <c r="C3923" s="1"/>
      <c r="I3923" s="3"/>
      <c r="J3923" s="3"/>
      <c r="K3923" s="3"/>
      <c r="L3923" s="3"/>
    </row>
    <row r="3924" spans="2:12" x14ac:dyDescent="0.3">
      <c r="B3924" s="1"/>
      <c r="C3924" s="1"/>
      <c r="I3924" s="3"/>
      <c r="J3924" s="3"/>
      <c r="K3924" s="3"/>
      <c r="L3924" s="3"/>
    </row>
    <row r="3925" spans="2:12" x14ac:dyDescent="0.3">
      <c r="B3925" s="1"/>
      <c r="C3925" s="1"/>
      <c r="I3925" s="3"/>
      <c r="J3925" s="3"/>
      <c r="K3925" s="3"/>
      <c r="L3925" s="3"/>
    </row>
    <row r="3926" spans="2:12" x14ac:dyDescent="0.3">
      <c r="B3926" s="1"/>
      <c r="C3926" s="1"/>
      <c r="I3926" s="3"/>
      <c r="J3926" s="3"/>
      <c r="K3926" s="3"/>
      <c r="L3926" s="3"/>
    </row>
    <row r="3927" spans="2:12" x14ac:dyDescent="0.3">
      <c r="B3927" s="1"/>
      <c r="C3927" s="1"/>
      <c r="I3927" s="3"/>
      <c r="J3927" s="3"/>
      <c r="K3927" s="3"/>
      <c r="L3927" s="3"/>
    </row>
    <row r="3928" spans="2:12" x14ac:dyDescent="0.3">
      <c r="B3928" s="1"/>
      <c r="C3928" s="1"/>
      <c r="I3928" s="3"/>
      <c r="J3928" s="3"/>
      <c r="K3928" s="3"/>
      <c r="L3928" s="3"/>
    </row>
    <row r="3929" spans="2:12" x14ac:dyDescent="0.3">
      <c r="B3929" s="1"/>
      <c r="C3929" s="1"/>
      <c r="I3929" s="3"/>
      <c r="J3929" s="3"/>
      <c r="K3929" s="3"/>
      <c r="L3929" s="3"/>
    </row>
    <row r="3930" spans="2:12" x14ac:dyDescent="0.3">
      <c r="B3930" s="1"/>
      <c r="C3930" s="1"/>
      <c r="I3930" s="3"/>
      <c r="J3930" s="3"/>
      <c r="K3930" s="3"/>
      <c r="L3930" s="3"/>
    </row>
    <row r="3931" spans="2:12" x14ac:dyDescent="0.3">
      <c r="B3931" s="1"/>
      <c r="C3931" s="1"/>
      <c r="I3931" s="3"/>
      <c r="J3931" s="3"/>
      <c r="K3931" s="3"/>
      <c r="L3931" s="3"/>
    </row>
    <row r="3932" spans="2:12" x14ac:dyDescent="0.3">
      <c r="B3932" s="1"/>
      <c r="C3932" s="1"/>
      <c r="I3932" s="3"/>
      <c r="J3932" s="3"/>
      <c r="K3932" s="3"/>
      <c r="L3932" s="3"/>
    </row>
    <row r="3933" spans="2:12" x14ac:dyDescent="0.3">
      <c r="B3933" s="1"/>
      <c r="C3933" s="1"/>
      <c r="I3933" s="3"/>
      <c r="J3933" s="3"/>
      <c r="K3933" s="3"/>
      <c r="L3933" s="3"/>
    </row>
    <row r="3934" spans="2:12" x14ac:dyDescent="0.3">
      <c r="B3934" s="1"/>
      <c r="C3934" s="1"/>
      <c r="I3934" s="3"/>
      <c r="J3934" s="3"/>
      <c r="K3934" s="3"/>
      <c r="L3934" s="3"/>
    </row>
    <row r="3935" spans="2:12" x14ac:dyDescent="0.3">
      <c r="B3935" s="1"/>
      <c r="C3935" s="1"/>
      <c r="I3935" s="3"/>
      <c r="J3935" s="3"/>
      <c r="K3935" s="3"/>
      <c r="L3935" s="3"/>
    </row>
    <row r="3936" spans="2:12" x14ac:dyDescent="0.3">
      <c r="B3936" s="1"/>
      <c r="C3936" s="1"/>
      <c r="I3936" s="3"/>
      <c r="J3936" s="3"/>
      <c r="K3936" s="3"/>
      <c r="L3936" s="3"/>
    </row>
    <row r="3937" spans="2:12" x14ac:dyDescent="0.3">
      <c r="B3937" s="1"/>
      <c r="C3937" s="1"/>
      <c r="I3937" s="3"/>
      <c r="J3937" s="3"/>
      <c r="K3937" s="3"/>
      <c r="L3937" s="3"/>
    </row>
    <row r="3938" spans="2:12" x14ac:dyDescent="0.3">
      <c r="B3938" s="1"/>
      <c r="C3938" s="1"/>
      <c r="I3938" s="3"/>
      <c r="J3938" s="3"/>
      <c r="K3938" s="3"/>
      <c r="L3938" s="3"/>
    </row>
    <row r="3939" spans="2:12" x14ac:dyDescent="0.3">
      <c r="B3939" s="1"/>
      <c r="C3939" s="1"/>
      <c r="I3939" s="3"/>
      <c r="J3939" s="3"/>
      <c r="K3939" s="3"/>
      <c r="L3939" s="3"/>
    </row>
    <row r="3940" spans="2:12" x14ac:dyDescent="0.3">
      <c r="B3940" s="1"/>
      <c r="C3940" s="1"/>
      <c r="I3940" s="3"/>
      <c r="J3940" s="3"/>
      <c r="K3940" s="3"/>
      <c r="L3940" s="3"/>
    </row>
    <row r="3941" spans="2:12" x14ac:dyDescent="0.3">
      <c r="B3941" s="1"/>
      <c r="C3941" s="1"/>
      <c r="I3941" s="3"/>
      <c r="J3941" s="3"/>
      <c r="K3941" s="3"/>
      <c r="L3941" s="3"/>
    </row>
    <row r="3942" spans="2:12" x14ac:dyDescent="0.3">
      <c r="B3942" s="1"/>
      <c r="C3942" s="1"/>
      <c r="I3942" s="3"/>
      <c r="J3942" s="3"/>
      <c r="K3942" s="3"/>
      <c r="L3942" s="3"/>
    </row>
    <row r="3943" spans="2:12" x14ac:dyDescent="0.3">
      <c r="B3943" s="1"/>
      <c r="C3943" s="1"/>
      <c r="I3943" s="3"/>
      <c r="J3943" s="3"/>
      <c r="K3943" s="3"/>
      <c r="L3943" s="3"/>
    </row>
    <row r="3944" spans="2:12" x14ac:dyDescent="0.3">
      <c r="B3944" s="1"/>
      <c r="C3944" s="1"/>
      <c r="I3944" s="3"/>
      <c r="J3944" s="3"/>
      <c r="K3944" s="3"/>
      <c r="L3944" s="3"/>
    </row>
    <row r="3945" spans="2:12" x14ac:dyDescent="0.3">
      <c r="B3945" s="1"/>
      <c r="C3945" s="1"/>
      <c r="I3945" s="3"/>
      <c r="J3945" s="3"/>
      <c r="K3945" s="3"/>
      <c r="L3945" s="3"/>
    </row>
    <row r="3946" spans="2:12" x14ac:dyDescent="0.3">
      <c r="B3946" s="1"/>
      <c r="C3946" s="1"/>
      <c r="I3946" s="3"/>
      <c r="J3946" s="3"/>
      <c r="K3946" s="3"/>
      <c r="L3946" s="3"/>
    </row>
    <row r="3947" spans="2:12" x14ac:dyDescent="0.3">
      <c r="B3947" s="1"/>
      <c r="C3947" s="1"/>
      <c r="I3947" s="3"/>
      <c r="J3947" s="3"/>
      <c r="K3947" s="3"/>
      <c r="L3947" s="3"/>
    </row>
    <row r="3948" spans="2:12" x14ac:dyDescent="0.3">
      <c r="B3948" s="1"/>
      <c r="C3948" s="1"/>
      <c r="I3948" s="3"/>
      <c r="J3948" s="3"/>
      <c r="K3948" s="3"/>
      <c r="L3948" s="3"/>
    </row>
    <row r="3949" spans="2:12" x14ac:dyDescent="0.3">
      <c r="B3949" s="1"/>
      <c r="C3949" s="1"/>
      <c r="I3949" s="3"/>
      <c r="J3949" s="3"/>
      <c r="K3949" s="3"/>
      <c r="L3949" s="3"/>
    </row>
    <row r="3950" spans="2:12" x14ac:dyDescent="0.3">
      <c r="B3950" s="1"/>
      <c r="C3950" s="1"/>
      <c r="I3950" s="3"/>
      <c r="J3950" s="3"/>
      <c r="K3950" s="3"/>
      <c r="L3950" s="3"/>
    </row>
    <row r="3951" spans="2:12" x14ac:dyDescent="0.3">
      <c r="B3951" s="1"/>
      <c r="C3951" s="1"/>
      <c r="I3951" s="3"/>
      <c r="J3951" s="3"/>
      <c r="K3951" s="3"/>
      <c r="L3951" s="3"/>
    </row>
    <row r="3952" spans="2:12" x14ac:dyDescent="0.3">
      <c r="B3952" s="1"/>
      <c r="C3952" s="1"/>
      <c r="I3952" s="3"/>
      <c r="J3952" s="3"/>
      <c r="K3952" s="3"/>
      <c r="L3952" s="3"/>
    </row>
    <row r="3953" spans="2:12" x14ac:dyDescent="0.3">
      <c r="B3953" s="1"/>
      <c r="C3953" s="1"/>
      <c r="I3953" s="3"/>
      <c r="J3953" s="3"/>
      <c r="K3953" s="3"/>
      <c r="L3953" s="3"/>
    </row>
    <row r="3954" spans="2:12" x14ac:dyDescent="0.3">
      <c r="B3954" s="1"/>
      <c r="C3954" s="1"/>
      <c r="I3954" s="3"/>
      <c r="J3954" s="3"/>
      <c r="K3954" s="3"/>
      <c r="L3954" s="3"/>
    </row>
    <row r="3955" spans="2:12" x14ac:dyDescent="0.3">
      <c r="B3955" s="1"/>
      <c r="C3955" s="1"/>
      <c r="I3955" s="3"/>
      <c r="J3955" s="3"/>
      <c r="K3955" s="3"/>
      <c r="L3955" s="3"/>
    </row>
    <row r="3956" spans="2:12" x14ac:dyDescent="0.3">
      <c r="B3956" s="1"/>
      <c r="C3956" s="1"/>
      <c r="I3956" s="3"/>
      <c r="J3956" s="3"/>
      <c r="K3956" s="3"/>
      <c r="L3956" s="3"/>
    </row>
    <row r="3957" spans="2:12" x14ac:dyDescent="0.3">
      <c r="B3957" s="1"/>
      <c r="C3957" s="1"/>
      <c r="I3957" s="3"/>
      <c r="J3957" s="3"/>
      <c r="K3957" s="3"/>
      <c r="L3957" s="3"/>
    </row>
    <row r="3958" spans="2:12" x14ac:dyDescent="0.3">
      <c r="B3958" s="1"/>
      <c r="C3958" s="1"/>
      <c r="I3958" s="3"/>
      <c r="J3958" s="3"/>
      <c r="K3958" s="3"/>
      <c r="L3958" s="3"/>
    </row>
    <row r="3959" spans="2:12" x14ac:dyDescent="0.3">
      <c r="B3959" s="1"/>
      <c r="C3959" s="1"/>
      <c r="I3959" s="3"/>
      <c r="J3959" s="3"/>
      <c r="K3959" s="3"/>
      <c r="L3959" s="3"/>
    </row>
    <row r="3960" spans="2:12" x14ac:dyDescent="0.3">
      <c r="B3960" s="1"/>
      <c r="C3960" s="1"/>
      <c r="I3960" s="3"/>
      <c r="J3960" s="3"/>
      <c r="K3960" s="3"/>
      <c r="L3960" s="3"/>
    </row>
    <row r="3961" spans="2:12" x14ac:dyDescent="0.3">
      <c r="B3961" s="1"/>
      <c r="C3961" s="1"/>
      <c r="I3961" s="3"/>
      <c r="J3961" s="3"/>
      <c r="K3961" s="3"/>
      <c r="L3961" s="3"/>
    </row>
    <row r="3962" spans="2:12" x14ac:dyDescent="0.3">
      <c r="B3962" s="1"/>
      <c r="C3962" s="1"/>
      <c r="I3962" s="3"/>
      <c r="J3962" s="3"/>
      <c r="K3962" s="3"/>
      <c r="L3962" s="3"/>
    </row>
    <row r="3963" spans="2:12" x14ac:dyDescent="0.3">
      <c r="B3963" s="1"/>
      <c r="C3963" s="1"/>
      <c r="I3963" s="3"/>
      <c r="J3963" s="3"/>
      <c r="K3963" s="3"/>
      <c r="L3963" s="3"/>
    </row>
    <row r="3964" spans="2:12" x14ac:dyDescent="0.3">
      <c r="B3964" s="1"/>
      <c r="C3964" s="1"/>
      <c r="I3964" s="3"/>
      <c r="J3964" s="3"/>
      <c r="K3964" s="3"/>
      <c r="L3964" s="3"/>
    </row>
    <row r="3965" spans="2:12" x14ac:dyDescent="0.3">
      <c r="B3965" s="1"/>
      <c r="C3965" s="1"/>
      <c r="I3965" s="3"/>
      <c r="J3965" s="3"/>
      <c r="K3965" s="3"/>
      <c r="L3965" s="3"/>
    </row>
    <row r="3966" spans="2:12" x14ac:dyDescent="0.3">
      <c r="B3966" s="1"/>
      <c r="C3966" s="1"/>
      <c r="I3966" s="3"/>
      <c r="J3966" s="3"/>
      <c r="K3966" s="3"/>
      <c r="L3966" s="3"/>
    </row>
    <row r="3967" spans="2:12" x14ac:dyDescent="0.3">
      <c r="B3967" s="1"/>
      <c r="C3967" s="1"/>
      <c r="I3967" s="3"/>
      <c r="J3967" s="3"/>
      <c r="K3967" s="3"/>
      <c r="L3967" s="3"/>
    </row>
    <row r="3968" spans="2:12" x14ac:dyDescent="0.3">
      <c r="B3968" s="1"/>
      <c r="C3968" s="1"/>
      <c r="I3968" s="3"/>
      <c r="J3968" s="3"/>
      <c r="K3968" s="3"/>
      <c r="L3968" s="3"/>
    </row>
    <row r="3969" spans="2:12" x14ac:dyDescent="0.3">
      <c r="B3969" s="1"/>
      <c r="C3969" s="1"/>
      <c r="I3969" s="3"/>
      <c r="J3969" s="3"/>
      <c r="K3969" s="3"/>
      <c r="L3969" s="3"/>
    </row>
    <row r="3970" spans="2:12" x14ac:dyDescent="0.3">
      <c r="B3970" s="1"/>
      <c r="C3970" s="1"/>
      <c r="I3970" s="3"/>
      <c r="J3970" s="3"/>
      <c r="K3970" s="3"/>
      <c r="L3970" s="3"/>
    </row>
    <row r="3971" spans="2:12" x14ac:dyDescent="0.3">
      <c r="B3971" s="1"/>
      <c r="C3971" s="1"/>
      <c r="I3971" s="3"/>
      <c r="J3971" s="3"/>
      <c r="K3971" s="3"/>
      <c r="L3971" s="3"/>
    </row>
    <row r="3972" spans="2:12" x14ac:dyDescent="0.3">
      <c r="B3972" s="1"/>
      <c r="C3972" s="1"/>
      <c r="I3972" s="3"/>
      <c r="J3972" s="3"/>
      <c r="K3972" s="3"/>
      <c r="L3972" s="3"/>
    </row>
    <row r="3973" spans="2:12" x14ac:dyDescent="0.3">
      <c r="B3973" s="1"/>
      <c r="C3973" s="1"/>
      <c r="I3973" s="3"/>
      <c r="J3973" s="3"/>
      <c r="K3973" s="3"/>
      <c r="L3973" s="3"/>
    </row>
    <row r="3974" spans="2:12" x14ac:dyDescent="0.3">
      <c r="B3974" s="1"/>
      <c r="C3974" s="1"/>
      <c r="I3974" s="3"/>
      <c r="J3974" s="3"/>
      <c r="K3974" s="3"/>
      <c r="L3974" s="3"/>
    </row>
    <row r="3975" spans="2:12" x14ac:dyDescent="0.3">
      <c r="B3975" s="1"/>
      <c r="C3975" s="1"/>
      <c r="I3975" s="3"/>
      <c r="J3975" s="3"/>
      <c r="K3975" s="3"/>
      <c r="L3975" s="3"/>
    </row>
    <row r="3976" spans="2:12" x14ac:dyDescent="0.3">
      <c r="B3976" s="1"/>
      <c r="C3976" s="1"/>
      <c r="I3976" s="3"/>
      <c r="J3976" s="3"/>
      <c r="K3976" s="3"/>
      <c r="L3976" s="3"/>
    </row>
    <row r="3977" spans="2:12" x14ac:dyDescent="0.3">
      <c r="B3977" s="1"/>
      <c r="C3977" s="1"/>
      <c r="I3977" s="3"/>
      <c r="J3977" s="3"/>
      <c r="K3977" s="3"/>
      <c r="L3977" s="3"/>
    </row>
    <row r="3978" spans="2:12" x14ac:dyDescent="0.3">
      <c r="B3978" s="1"/>
      <c r="C3978" s="1"/>
      <c r="I3978" s="3"/>
      <c r="J3978" s="3"/>
      <c r="K3978" s="3"/>
      <c r="L3978" s="3"/>
    </row>
    <row r="3979" spans="2:12" x14ac:dyDescent="0.3">
      <c r="B3979" s="1"/>
      <c r="C3979" s="1"/>
      <c r="I3979" s="3"/>
      <c r="J3979" s="3"/>
      <c r="K3979" s="3"/>
      <c r="L3979" s="3"/>
    </row>
    <row r="3980" spans="2:12" x14ac:dyDescent="0.3">
      <c r="B3980" s="1"/>
      <c r="C3980" s="1"/>
      <c r="I3980" s="3"/>
      <c r="J3980" s="3"/>
      <c r="K3980" s="3"/>
      <c r="L3980" s="3"/>
    </row>
    <row r="3981" spans="2:12" x14ac:dyDescent="0.3">
      <c r="B3981" s="1"/>
      <c r="C3981" s="1"/>
      <c r="I3981" s="3"/>
      <c r="J3981" s="3"/>
      <c r="K3981" s="3"/>
      <c r="L3981" s="3"/>
    </row>
    <row r="3982" spans="2:12" x14ac:dyDescent="0.3">
      <c r="B3982" s="1"/>
      <c r="C3982" s="1"/>
      <c r="I3982" s="3"/>
      <c r="J3982" s="3"/>
      <c r="K3982" s="3"/>
      <c r="L3982" s="3"/>
    </row>
    <row r="3983" spans="2:12" x14ac:dyDescent="0.3">
      <c r="B3983" s="1"/>
      <c r="C3983" s="1"/>
      <c r="I3983" s="3"/>
      <c r="J3983" s="3"/>
      <c r="K3983" s="3"/>
      <c r="L3983" s="3"/>
    </row>
    <row r="3984" spans="2:12" x14ac:dyDescent="0.3">
      <c r="B3984" s="1"/>
      <c r="C3984" s="1"/>
      <c r="I3984" s="3"/>
      <c r="J3984" s="3"/>
      <c r="K3984" s="3"/>
      <c r="L3984" s="3"/>
    </row>
    <row r="3985" spans="2:12" x14ac:dyDescent="0.3">
      <c r="B3985" s="1"/>
      <c r="C3985" s="1"/>
      <c r="I3985" s="3"/>
      <c r="J3985" s="3"/>
      <c r="K3985" s="3"/>
      <c r="L3985" s="3"/>
    </row>
    <row r="3986" spans="2:12" x14ac:dyDescent="0.3">
      <c r="B3986" s="1"/>
      <c r="C3986" s="1"/>
      <c r="I3986" s="3"/>
      <c r="J3986" s="3"/>
      <c r="K3986" s="3"/>
      <c r="L3986" s="3"/>
    </row>
    <row r="3987" spans="2:12" x14ac:dyDescent="0.3">
      <c r="B3987" s="1"/>
      <c r="C3987" s="1"/>
      <c r="I3987" s="3"/>
      <c r="J3987" s="3"/>
      <c r="K3987" s="3"/>
      <c r="L3987" s="3"/>
    </row>
    <row r="3988" spans="2:12" x14ac:dyDescent="0.3">
      <c r="B3988" s="1"/>
      <c r="C3988" s="1"/>
      <c r="I3988" s="3"/>
      <c r="J3988" s="3"/>
      <c r="K3988" s="3"/>
      <c r="L3988" s="3"/>
    </row>
    <row r="3989" spans="2:12" x14ac:dyDescent="0.3">
      <c r="B3989" s="1"/>
      <c r="C3989" s="1"/>
      <c r="I3989" s="3"/>
      <c r="J3989" s="3"/>
      <c r="K3989" s="3"/>
      <c r="L3989" s="3"/>
    </row>
    <row r="3990" spans="2:12" x14ac:dyDescent="0.3">
      <c r="B3990" s="1"/>
      <c r="C3990" s="1"/>
      <c r="I3990" s="3"/>
      <c r="J3990" s="3"/>
      <c r="K3990" s="3"/>
      <c r="L3990" s="3"/>
    </row>
    <row r="3991" spans="2:12" x14ac:dyDescent="0.3">
      <c r="B3991" s="1"/>
      <c r="C3991" s="1"/>
      <c r="I3991" s="3"/>
      <c r="J3991" s="3"/>
      <c r="K3991" s="3"/>
      <c r="L3991" s="3"/>
    </row>
    <row r="3992" spans="2:12" x14ac:dyDescent="0.3">
      <c r="B3992" s="1"/>
      <c r="C3992" s="1"/>
      <c r="I3992" s="3"/>
      <c r="J3992" s="3"/>
      <c r="K3992" s="3"/>
      <c r="L3992" s="3"/>
    </row>
    <row r="3993" spans="2:12" x14ac:dyDescent="0.3">
      <c r="B3993" s="1"/>
      <c r="C3993" s="1"/>
      <c r="I3993" s="3"/>
      <c r="J3993" s="3"/>
      <c r="K3993" s="3"/>
      <c r="L3993" s="3"/>
    </row>
    <row r="3994" spans="2:12" x14ac:dyDescent="0.3">
      <c r="B3994" s="1"/>
      <c r="C3994" s="1"/>
      <c r="I3994" s="3"/>
      <c r="J3994" s="3"/>
      <c r="K3994" s="3"/>
      <c r="L3994" s="3"/>
    </row>
    <row r="3995" spans="2:12" x14ac:dyDescent="0.3">
      <c r="B3995" s="1"/>
      <c r="C3995" s="1"/>
      <c r="I3995" s="3"/>
      <c r="J3995" s="3"/>
      <c r="K3995" s="3"/>
      <c r="L3995" s="3"/>
    </row>
    <row r="3996" spans="2:12" x14ac:dyDescent="0.3">
      <c r="B3996" s="1"/>
      <c r="C3996" s="1"/>
      <c r="I3996" s="3"/>
      <c r="J3996" s="3"/>
      <c r="K3996" s="3"/>
      <c r="L3996" s="3"/>
    </row>
    <row r="3997" spans="2:12" x14ac:dyDescent="0.3">
      <c r="B3997" s="1"/>
      <c r="C3997" s="1"/>
      <c r="I3997" s="3"/>
      <c r="J3997" s="3"/>
      <c r="K3997" s="3"/>
      <c r="L3997" s="3"/>
    </row>
    <row r="3998" spans="2:12" x14ac:dyDescent="0.3">
      <c r="B3998" s="1"/>
      <c r="C3998" s="1"/>
      <c r="I3998" s="3"/>
      <c r="J3998" s="3"/>
      <c r="K3998" s="3"/>
      <c r="L3998" s="3"/>
    </row>
    <row r="3999" spans="2:12" x14ac:dyDescent="0.3">
      <c r="B3999" s="1"/>
      <c r="C3999" s="1"/>
      <c r="I3999" s="3"/>
      <c r="J3999" s="3"/>
      <c r="K3999" s="3"/>
      <c r="L3999" s="3"/>
    </row>
    <row r="4000" spans="2:12" x14ac:dyDescent="0.3">
      <c r="B4000" s="1"/>
      <c r="C4000" s="1"/>
      <c r="I4000" s="3"/>
      <c r="J4000" s="3"/>
      <c r="K4000" s="3"/>
      <c r="L4000" s="3"/>
    </row>
    <row r="4001" spans="2:12" x14ac:dyDescent="0.3">
      <c r="B4001" s="1"/>
      <c r="C4001" s="1"/>
      <c r="I4001" s="3"/>
      <c r="J4001" s="3"/>
      <c r="K4001" s="3"/>
      <c r="L4001" s="3"/>
    </row>
    <row r="4002" spans="2:12" x14ac:dyDescent="0.3">
      <c r="B4002" s="1"/>
      <c r="C4002" s="1"/>
      <c r="I4002" s="3"/>
      <c r="J4002" s="3"/>
      <c r="K4002" s="3"/>
      <c r="L4002" s="3"/>
    </row>
    <row r="4003" spans="2:12" x14ac:dyDescent="0.3">
      <c r="B4003" s="1"/>
      <c r="C4003" s="1"/>
      <c r="I4003" s="3"/>
      <c r="J4003" s="3"/>
      <c r="K4003" s="3"/>
      <c r="L4003" s="3"/>
    </row>
    <row r="4004" spans="2:12" x14ac:dyDescent="0.3">
      <c r="B4004" s="1"/>
      <c r="C4004" s="1"/>
      <c r="I4004" s="3"/>
      <c r="J4004" s="3"/>
      <c r="K4004" s="3"/>
      <c r="L4004" s="3"/>
    </row>
    <row r="4005" spans="2:12" x14ac:dyDescent="0.3">
      <c r="B4005" s="1"/>
      <c r="C4005" s="1"/>
      <c r="I4005" s="3"/>
      <c r="J4005" s="3"/>
      <c r="K4005" s="3"/>
      <c r="L4005" s="3"/>
    </row>
    <row r="4006" spans="2:12" x14ac:dyDescent="0.3">
      <c r="B4006" s="1"/>
      <c r="C4006" s="1"/>
      <c r="I4006" s="3"/>
      <c r="J4006" s="3"/>
      <c r="K4006" s="3"/>
      <c r="L4006" s="3"/>
    </row>
    <row r="4007" spans="2:12" x14ac:dyDescent="0.3">
      <c r="B4007" s="1"/>
      <c r="C4007" s="1"/>
      <c r="I4007" s="3"/>
      <c r="J4007" s="3"/>
      <c r="K4007" s="3"/>
      <c r="L4007" s="3"/>
    </row>
    <row r="4008" spans="2:12" x14ac:dyDescent="0.3">
      <c r="B4008" s="1"/>
      <c r="C4008" s="1"/>
      <c r="I4008" s="3"/>
      <c r="J4008" s="3"/>
      <c r="K4008" s="3"/>
      <c r="L4008" s="3"/>
    </row>
    <row r="4009" spans="2:12" x14ac:dyDescent="0.3">
      <c r="B4009" s="1"/>
      <c r="C4009" s="1"/>
      <c r="I4009" s="3"/>
      <c r="J4009" s="3"/>
      <c r="K4009" s="3"/>
      <c r="L4009" s="3"/>
    </row>
    <row r="4010" spans="2:12" x14ac:dyDescent="0.3">
      <c r="B4010" s="1"/>
      <c r="C4010" s="1"/>
      <c r="I4010" s="3"/>
      <c r="J4010" s="3"/>
      <c r="K4010" s="3"/>
      <c r="L4010" s="3"/>
    </row>
    <row r="4011" spans="2:12" x14ac:dyDescent="0.3">
      <c r="B4011" s="1"/>
      <c r="C4011" s="1"/>
      <c r="I4011" s="3"/>
      <c r="J4011" s="3"/>
      <c r="K4011" s="3"/>
      <c r="L4011" s="3"/>
    </row>
    <row r="4012" spans="2:12" x14ac:dyDescent="0.3">
      <c r="B4012" s="1"/>
      <c r="C4012" s="1"/>
      <c r="I4012" s="3"/>
      <c r="J4012" s="3"/>
      <c r="K4012" s="3"/>
      <c r="L4012" s="3"/>
    </row>
    <row r="4013" spans="2:12" x14ac:dyDescent="0.3">
      <c r="B4013" s="1"/>
      <c r="C4013" s="1"/>
      <c r="I4013" s="3"/>
      <c r="J4013" s="3"/>
      <c r="K4013" s="3"/>
      <c r="L4013" s="3"/>
    </row>
    <row r="4014" spans="2:12" x14ac:dyDescent="0.3">
      <c r="B4014" s="1"/>
      <c r="C4014" s="1"/>
      <c r="I4014" s="3"/>
      <c r="J4014" s="3"/>
      <c r="K4014" s="3"/>
      <c r="L4014" s="3"/>
    </row>
    <row r="4015" spans="2:12" x14ac:dyDescent="0.3">
      <c r="B4015" s="1"/>
      <c r="C4015" s="1"/>
      <c r="I4015" s="3"/>
      <c r="J4015" s="3"/>
      <c r="K4015" s="3"/>
      <c r="L4015" s="3"/>
    </row>
    <row r="4016" spans="2:12" x14ac:dyDescent="0.3">
      <c r="B4016" s="1"/>
      <c r="C4016" s="1"/>
      <c r="I4016" s="3"/>
      <c r="J4016" s="3"/>
      <c r="K4016" s="3"/>
      <c r="L4016" s="3"/>
    </row>
    <row r="4017" spans="2:12" x14ac:dyDescent="0.3">
      <c r="B4017" s="1"/>
      <c r="C4017" s="1"/>
      <c r="I4017" s="3"/>
      <c r="J4017" s="3"/>
      <c r="K4017" s="3"/>
      <c r="L4017" s="3"/>
    </row>
    <row r="4018" spans="2:12" x14ac:dyDescent="0.3">
      <c r="B4018" s="1"/>
      <c r="C4018" s="1"/>
      <c r="I4018" s="3"/>
      <c r="J4018" s="3"/>
      <c r="K4018" s="3"/>
      <c r="L4018" s="3"/>
    </row>
    <row r="4019" spans="2:12" x14ac:dyDescent="0.3">
      <c r="B4019" s="1"/>
      <c r="C4019" s="1"/>
      <c r="I4019" s="3"/>
      <c r="J4019" s="3"/>
      <c r="K4019" s="3"/>
      <c r="L4019" s="3"/>
    </row>
    <row r="4020" spans="2:12" x14ac:dyDescent="0.3">
      <c r="B4020" s="1"/>
      <c r="C4020" s="1"/>
      <c r="I4020" s="3"/>
      <c r="J4020" s="3"/>
      <c r="K4020" s="3"/>
      <c r="L4020" s="3"/>
    </row>
    <row r="4021" spans="2:12" x14ac:dyDescent="0.3">
      <c r="B4021" s="1"/>
      <c r="C4021" s="1"/>
      <c r="I4021" s="3"/>
      <c r="J4021" s="3"/>
      <c r="K4021" s="3"/>
      <c r="L4021" s="3"/>
    </row>
    <row r="4022" spans="2:12" x14ac:dyDescent="0.3">
      <c r="B4022" s="1"/>
      <c r="C4022" s="1"/>
      <c r="I4022" s="3"/>
      <c r="J4022" s="3"/>
      <c r="K4022" s="3"/>
      <c r="L4022" s="3"/>
    </row>
    <row r="4023" spans="2:12" x14ac:dyDescent="0.3">
      <c r="B4023" s="1"/>
      <c r="C4023" s="1"/>
      <c r="I4023" s="3"/>
      <c r="J4023" s="3"/>
      <c r="K4023" s="3"/>
      <c r="L4023" s="3"/>
    </row>
    <row r="4024" spans="2:12" x14ac:dyDescent="0.3">
      <c r="B4024" s="1"/>
      <c r="C4024" s="1"/>
      <c r="I4024" s="3"/>
      <c r="J4024" s="3"/>
      <c r="K4024" s="3"/>
      <c r="L4024" s="3"/>
    </row>
    <row r="4025" spans="2:12" x14ac:dyDescent="0.3">
      <c r="B4025" s="1"/>
      <c r="C4025" s="1"/>
      <c r="I4025" s="3"/>
      <c r="J4025" s="3"/>
      <c r="K4025" s="3"/>
      <c r="L4025" s="3"/>
    </row>
    <row r="4026" spans="2:12" x14ac:dyDescent="0.3">
      <c r="B4026" s="1"/>
      <c r="C4026" s="1"/>
      <c r="I4026" s="3"/>
      <c r="J4026" s="3"/>
      <c r="K4026" s="3"/>
      <c r="L4026" s="3"/>
    </row>
    <row r="4027" spans="2:12" x14ac:dyDescent="0.3">
      <c r="B4027" s="1"/>
      <c r="C4027" s="1"/>
      <c r="I4027" s="3"/>
      <c r="J4027" s="3"/>
      <c r="K4027" s="3"/>
      <c r="L4027" s="3"/>
    </row>
    <row r="4028" spans="2:12" x14ac:dyDescent="0.3">
      <c r="B4028" s="1"/>
      <c r="C4028" s="1"/>
      <c r="I4028" s="3"/>
      <c r="J4028" s="3"/>
      <c r="K4028" s="3"/>
      <c r="L4028" s="3"/>
    </row>
    <row r="4029" spans="2:12" x14ac:dyDescent="0.3">
      <c r="B4029" s="1"/>
      <c r="C4029" s="1"/>
      <c r="I4029" s="3"/>
      <c r="J4029" s="3"/>
      <c r="K4029" s="3"/>
      <c r="L4029" s="3"/>
    </row>
    <row r="4030" spans="2:12" x14ac:dyDescent="0.3">
      <c r="B4030" s="1"/>
      <c r="C4030" s="1"/>
      <c r="I4030" s="3"/>
      <c r="J4030" s="3"/>
      <c r="K4030" s="3"/>
      <c r="L4030" s="3"/>
    </row>
    <row r="4031" spans="2:12" x14ac:dyDescent="0.3">
      <c r="B4031" s="1"/>
      <c r="C4031" s="1"/>
      <c r="I4031" s="3"/>
      <c r="J4031" s="3"/>
      <c r="K4031" s="3"/>
      <c r="L4031" s="3"/>
    </row>
    <row r="4032" spans="2:12" x14ac:dyDescent="0.3">
      <c r="B4032" s="1"/>
      <c r="C4032" s="1"/>
      <c r="I4032" s="3"/>
      <c r="J4032" s="3"/>
      <c r="K4032" s="3"/>
      <c r="L4032" s="3"/>
    </row>
    <row r="4033" spans="2:12" x14ac:dyDescent="0.3">
      <c r="B4033" s="1"/>
      <c r="C4033" s="1"/>
      <c r="I4033" s="3"/>
      <c r="J4033" s="3"/>
      <c r="K4033" s="3"/>
      <c r="L4033" s="3"/>
    </row>
    <row r="4034" spans="2:12" x14ac:dyDescent="0.3">
      <c r="B4034" s="1"/>
      <c r="C4034" s="1"/>
      <c r="I4034" s="3"/>
      <c r="J4034" s="3"/>
      <c r="K4034" s="3"/>
      <c r="L4034" s="3"/>
    </row>
    <row r="4035" spans="2:12" x14ac:dyDescent="0.3">
      <c r="B4035" s="1"/>
      <c r="C4035" s="1"/>
      <c r="I4035" s="3"/>
      <c r="J4035" s="3"/>
      <c r="K4035" s="3"/>
      <c r="L4035" s="3"/>
    </row>
    <row r="4036" spans="2:12" x14ac:dyDescent="0.3">
      <c r="B4036" s="1"/>
      <c r="C4036" s="1"/>
      <c r="I4036" s="3"/>
      <c r="J4036" s="3"/>
      <c r="K4036" s="3"/>
      <c r="L4036" s="3"/>
    </row>
    <row r="4037" spans="2:12" x14ac:dyDescent="0.3">
      <c r="B4037" s="1"/>
      <c r="C4037" s="1"/>
      <c r="I4037" s="3"/>
      <c r="J4037" s="3"/>
      <c r="K4037" s="3"/>
      <c r="L4037" s="3"/>
    </row>
    <row r="4038" spans="2:12" x14ac:dyDescent="0.3">
      <c r="B4038" s="1"/>
      <c r="C4038" s="1"/>
      <c r="I4038" s="3"/>
      <c r="J4038" s="3"/>
      <c r="K4038" s="3"/>
      <c r="L4038" s="3"/>
    </row>
    <row r="4039" spans="2:12" x14ac:dyDescent="0.3">
      <c r="B4039" s="1"/>
      <c r="C4039" s="1"/>
      <c r="I4039" s="3"/>
      <c r="J4039" s="3"/>
      <c r="K4039" s="3"/>
      <c r="L4039" s="3"/>
    </row>
    <row r="4040" spans="2:12" x14ac:dyDescent="0.3">
      <c r="B4040" s="1"/>
      <c r="C4040" s="1"/>
      <c r="I4040" s="3"/>
      <c r="J4040" s="3"/>
      <c r="K4040" s="3"/>
      <c r="L4040" s="3"/>
    </row>
    <row r="4041" spans="2:12" x14ac:dyDescent="0.3">
      <c r="B4041" s="1"/>
      <c r="C4041" s="1"/>
      <c r="I4041" s="3"/>
      <c r="J4041" s="3"/>
      <c r="K4041" s="3"/>
      <c r="L4041" s="3"/>
    </row>
    <row r="4042" spans="2:12" x14ac:dyDescent="0.3">
      <c r="B4042" s="1"/>
      <c r="C4042" s="1"/>
      <c r="I4042" s="3"/>
      <c r="J4042" s="3"/>
      <c r="K4042" s="3"/>
      <c r="L4042" s="3"/>
    </row>
    <row r="4043" spans="2:12" x14ac:dyDescent="0.3">
      <c r="B4043" s="1"/>
      <c r="C4043" s="1"/>
      <c r="I4043" s="3"/>
      <c r="J4043" s="3"/>
      <c r="K4043" s="3"/>
      <c r="L4043" s="3"/>
    </row>
    <row r="4044" spans="2:12" x14ac:dyDescent="0.3">
      <c r="B4044" s="1"/>
      <c r="C4044" s="1"/>
      <c r="I4044" s="3"/>
      <c r="J4044" s="3"/>
      <c r="K4044" s="3"/>
      <c r="L4044" s="3"/>
    </row>
    <row r="4045" spans="2:12" x14ac:dyDescent="0.3">
      <c r="B4045" s="1"/>
      <c r="C4045" s="1"/>
      <c r="I4045" s="3"/>
      <c r="J4045" s="3"/>
      <c r="K4045" s="3"/>
      <c r="L4045" s="3"/>
    </row>
    <row r="4046" spans="2:12" x14ac:dyDescent="0.3">
      <c r="B4046" s="1"/>
      <c r="C4046" s="1"/>
      <c r="I4046" s="3"/>
      <c r="J4046" s="3"/>
      <c r="K4046" s="3"/>
      <c r="L4046" s="3"/>
    </row>
    <row r="4047" spans="2:12" x14ac:dyDescent="0.3">
      <c r="B4047" s="1"/>
      <c r="C4047" s="1"/>
      <c r="I4047" s="3"/>
      <c r="J4047" s="3"/>
      <c r="K4047" s="3"/>
      <c r="L4047" s="3"/>
    </row>
    <row r="4048" spans="2:12" x14ac:dyDescent="0.3">
      <c r="B4048" s="1"/>
      <c r="C4048" s="1"/>
      <c r="I4048" s="3"/>
      <c r="J4048" s="3"/>
      <c r="K4048" s="3"/>
      <c r="L4048" s="3"/>
    </row>
    <row r="4049" spans="2:12" x14ac:dyDescent="0.3">
      <c r="B4049" s="1"/>
      <c r="C4049" s="1"/>
      <c r="I4049" s="3"/>
      <c r="J4049" s="3"/>
      <c r="K4049" s="3"/>
      <c r="L4049" s="3"/>
    </row>
    <row r="4050" spans="2:12" x14ac:dyDescent="0.3">
      <c r="B4050" s="1"/>
      <c r="C4050" s="1"/>
      <c r="I4050" s="3"/>
      <c r="J4050" s="3"/>
      <c r="K4050" s="3"/>
      <c r="L4050" s="3"/>
    </row>
    <row r="4051" spans="2:12" x14ac:dyDescent="0.3">
      <c r="B4051" s="1"/>
      <c r="C4051" s="1"/>
      <c r="I4051" s="3"/>
      <c r="J4051" s="3"/>
      <c r="K4051" s="3"/>
      <c r="L4051" s="3"/>
    </row>
    <row r="4052" spans="2:12" x14ac:dyDescent="0.3">
      <c r="B4052" s="1"/>
      <c r="C4052" s="1"/>
      <c r="I4052" s="3"/>
      <c r="J4052" s="3"/>
      <c r="K4052" s="3"/>
      <c r="L4052" s="3"/>
    </row>
    <row r="4053" spans="2:12" x14ac:dyDescent="0.3">
      <c r="B4053" s="1"/>
      <c r="C4053" s="1"/>
      <c r="I4053" s="3"/>
      <c r="J4053" s="3"/>
      <c r="K4053" s="3"/>
      <c r="L4053" s="3"/>
    </row>
    <row r="4054" spans="2:12" x14ac:dyDescent="0.3">
      <c r="B4054" s="1"/>
      <c r="C4054" s="1"/>
      <c r="I4054" s="3"/>
      <c r="J4054" s="3"/>
      <c r="K4054" s="3"/>
      <c r="L4054" s="3"/>
    </row>
    <row r="4055" spans="2:12" x14ac:dyDescent="0.3">
      <c r="B4055" s="1"/>
      <c r="C4055" s="1"/>
      <c r="I4055" s="3"/>
      <c r="J4055" s="3"/>
      <c r="K4055" s="3"/>
      <c r="L4055" s="3"/>
    </row>
    <row r="4056" spans="2:12" x14ac:dyDescent="0.3">
      <c r="B4056" s="1"/>
      <c r="C4056" s="1"/>
      <c r="I4056" s="3"/>
      <c r="J4056" s="3"/>
      <c r="K4056" s="3"/>
      <c r="L4056" s="3"/>
    </row>
    <row r="4057" spans="2:12" x14ac:dyDescent="0.3">
      <c r="B4057" s="1"/>
      <c r="C4057" s="1"/>
      <c r="I4057" s="3"/>
      <c r="J4057" s="3"/>
      <c r="K4057" s="3"/>
      <c r="L4057" s="3"/>
    </row>
    <row r="4058" spans="2:12" x14ac:dyDescent="0.3">
      <c r="B4058" s="1"/>
      <c r="C4058" s="1"/>
      <c r="I4058" s="3"/>
      <c r="J4058" s="3"/>
      <c r="K4058" s="3"/>
      <c r="L4058" s="3"/>
    </row>
    <row r="4059" spans="2:12" x14ac:dyDescent="0.3">
      <c r="B4059" s="1"/>
      <c r="C4059" s="1"/>
      <c r="I4059" s="3"/>
      <c r="J4059" s="3"/>
      <c r="K4059" s="3"/>
      <c r="L4059" s="3"/>
    </row>
    <row r="4060" spans="2:12" x14ac:dyDescent="0.3">
      <c r="B4060" s="1"/>
      <c r="C4060" s="1"/>
      <c r="I4060" s="3"/>
      <c r="J4060" s="3"/>
      <c r="K4060" s="3"/>
      <c r="L4060" s="3"/>
    </row>
    <row r="4061" spans="2:12" x14ac:dyDescent="0.3">
      <c r="B4061" s="1"/>
      <c r="C4061" s="1"/>
      <c r="I4061" s="3"/>
      <c r="J4061" s="3"/>
      <c r="K4061" s="3"/>
      <c r="L4061" s="3"/>
    </row>
    <row r="4062" spans="2:12" x14ac:dyDescent="0.3">
      <c r="B4062" s="1"/>
      <c r="C4062" s="1"/>
      <c r="I4062" s="3"/>
      <c r="J4062" s="3"/>
      <c r="K4062" s="3"/>
      <c r="L4062" s="3"/>
    </row>
    <row r="4063" spans="2:12" x14ac:dyDescent="0.3">
      <c r="B4063" s="1"/>
      <c r="C4063" s="1"/>
      <c r="I4063" s="3"/>
      <c r="J4063" s="3"/>
      <c r="K4063" s="3"/>
      <c r="L4063" s="3"/>
    </row>
    <row r="4064" spans="2:12" x14ac:dyDescent="0.3">
      <c r="B4064" s="1"/>
      <c r="C4064" s="1"/>
      <c r="I4064" s="3"/>
      <c r="J4064" s="3"/>
      <c r="K4064" s="3"/>
      <c r="L4064" s="3"/>
    </row>
    <row r="4065" spans="2:12" x14ac:dyDescent="0.3">
      <c r="B4065" s="1"/>
      <c r="C4065" s="1"/>
      <c r="I4065" s="3"/>
      <c r="J4065" s="3"/>
      <c r="K4065" s="3"/>
      <c r="L4065" s="3"/>
    </row>
    <row r="4066" spans="2:12" x14ac:dyDescent="0.3">
      <c r="B4066" s="1"/>
      <c r="C4066" s="1"/>
      <c r="I4066" s="3"/>
      <c r="J4066" s="3"/>
      <c r="K4066" s="3"/>
      <c r="L4066" s="3"/>
    </row>
    <row r="4067" spans="2:12" x14ac:dyDescent="0.3">
      <c r="B4067" s="1"/>
      <c r="C4067" s="1"/>
      <c r="I4067" s="3"/>
      <c r="J4067" s="3"/>
      <c r="K4067" s="3"/>
      <c r="L4067" s="3"/>
    </row>
    <row r="4068" spans="2:12" x14ac:dyDescent="0.3">
      <c r="B4068" s="1"/>
      <c r="C4068" s="1"/>
      <c r="I4068" s="3"/>
      <c r="J4068" s="3"/>
      <c r="K4068" s="3"/>
      <c r="L4068" s="3"/>
    </row>
    <row r="4069" spans="2:12" x14ac:dyDescent="0.3">
      <c r="B4069" s="1"/>
      <c r="C4069" s="1"/>
      <c r="I4069" s="3"/>
      <c r="J4069" s="3"/>
      <c r="K4069" s="3"/>
      <c r="L4069" s="3"/>
    </row>
    <row r="4070" spans="2:12" x14ac:dyDescent="0.3">
      <c r="B4070" s="1"/>
      <c r="C4070" s="1"/>
      <c r="I4070" s="3"/>
      <c r="J4070" s="3"/>
      <c r="K4070" s="3"/>
      <c r="L4070" s="3"/>
    </row>
    <row r="4071" spans="2:12" x14ac:dyDescent="0.3">
      <c r="B4071" s="1"/>
      <c r="C4071" s="1"/>
      <c r="I4071" s="3"/>
      <c r="J4071" s="3"/>
      <c r="K4071" s="3"/>
      <c r="L4071" s="3"/>
    </row>
    <row r="4072" spans="2:12" x14ac:dyDescent="0.3">
      <c r="B4072" s="1"/>
      <c r="C4072" s="1"/>
      <c r="I4072" s="3"/>
      <c r="J4072" s="3"/>
      <c r="K4072" s="3"/>
      <c r="L4072" s="3"/>
    </row>
    <row r="4073" spans="2:12" x14ac:dyDescent="0.3">
      <c r="B4073" s="1"/>
      <c r="C4073" s="1"/>
      <c r="I4073" s="3"/>
      <c r="J4073" s="3"/>
      <c r="K4073" s="3"/>
      <c r="L4073" s="3"/>
    </row>
    <row r="4074" spans="2:12" x14ac:dyDescent="0.3">
      <c r="B4074" s="1"/>
      <c r="C4074" s="1"/>
      <c r="I4074" s="3"/>
      <c r="J4074" s="3"/>
      <c r="K4074" s="3"/>
      <c r="L4074" s="3"/>
    </row>
    <row r="4075" spans="2:12" x14ac:dyDescent="0.3">
      <c r="B4075" s="1"/>
      <c r="C4075" s="1"/>
      <c r="I4075" s="3"/>
      <c r="J4075" s="3"/>
      <c r="K4075" s="3"/>
      <c r="L4075" s="3"/>
    </row>
    <row r="4076" spans="2:12" x14ac:dyDescent="0.3">
      <c r="B4076" s="1"/>
      <c r="C4076" s="1"/>
      <c r="I4076" s="3"/>
      <c r="J4076" s="3"/>
      <c r="K4076" s="3"/>
      <c r="L4076" s="3"/>
    </row>
    <row r="4077" spans="2:12" x14ac:dyDescent="0.3">
      <c r="B4077" s="1"/>
      <c r="C4077" s="1"/>
      <c r="I4077" s="3"/>
      <c r="J4077" s="3"/>
      <c r="K4077" s="3"/>
      <c r="L4077" s="3"/>
    </row>
    <row r="4078" spans="2:12" x14ac:dyDescent="0.3">
      <c r="B4078" s="1"/>
      <c r="C4078" s="1"/>
      <c r="I4078" s="3"/>
      <c r="J4078" s="3"/>
      <c r="K4078" s="3"/>
      <c r="L4078" s="3"/>
    </row>
    <row r="4079" spans="2:12" x14ac:dyDescent="0.3">
      <c r="B4079" s="1"/>
      <c r="C4079" s="1"/>
      <c r="I4079" s="3"/>
      <c r="J4079" s="3"/>
      <c r="K4079" s="3"/>
      <c r="L4079" s="3"/>
    </row>
    <row r="4080" spans="2:12" x14ac:dyDescent="0.3">
      <c r="B4080" s="1"/>
      <c r="C4080" s="1"/>
      <c r="I4080" s="3"/>
      <c r="J4080" s="3"/>
      <c r="K4080" s="3"/>
      <c r="L4080" s="3"/>
    </row>
    <row r="4081" spans="2:12" x14ac:dyDescent="0.3">
      <c r="B4081" s="1"/>
      <c r="C4081" s="1"/>
      <c r="I4081" s="3"/>
      <c r="J4081" s="3"/>
      <c r="K4081" s="3"/>
      <c r="L4081" s="3"/>
    </row>
    <row r="4082" spans="2:12" x14ac:dyDescent="0.3">
      <c r="B4082" s="1"/>
      <c r="C4082" s="1"/>
      <c r="I4082" s="3"/>
      <c r="J4082" s="3"/>
      <c r="K4082" s="3"/>
      <c r="L4082" s="3"/>
    </row>
    <row r="4083" spans="2:12" x14ac:dyDescent="0.3">
      <c r="B4083" s="1"/>
      <c r="C4083" s="1"/>
      <c r="I4083" s="3"/>
      <c r="J4083" s="3"/>
      <c r="K4083" s="3"/>
      <c r="L4083" s="3"/>
    </row>
    <row r="4084" spans="2:12" x14ac:dyDescent="0.3">
      <c r="B4084" s="1"/>
      <c r="C4084" s="1"/>
      <c r="I4084" s="3"/>
      <c r="J4084" s="3"/>
      <c r="K4084" s="3"/>
      <c r="L4084" s="3"/>
    </row>
    <row r="4085" spans="2:12" x14ac:dyDescent="0.3">
      <c r="B4085" s="1"/>
      <c r="C4085" s="1"/>
      <c r="I4085" s="3"/>
      <c r="J4085" s="3"/>
      <c r="K4085" s="3"/>
      <c r="L4085" s="3"/>
    </row>
    <row r="4086" spans="2:12" x14ac:dyDescent="0.3">
      <c r="B4086" s="1"/>
      <c r="C4086" s="1"/>
      <c r="I4086" s="3"/>
      <c r="J4086" s="3"/>
      <c r="K4086" s="3"/>
      <c r="L4086" s="3"/>
    </row>
    <row r="4087" spans="2:12" x14ac:dyDescent="0.3">
      <c r="B4087" s="1"/>
      <c r="C4087" s="1"/>
      <c r="I4087" s="3"/>
      <c r="J4087" s="3"/>
      <c r="K4087" s="3"/>
      <c r="L4087" s="3"/>
    </row>
    <row r="4088" spans="2:12" x14ac:dyDescent="0.3">
      <c r="B4088" s="1"/>
      <c r="C4088" s="1"/>
      <c r="I4088" s="3"/>
      <c r="J4088" s="3"/>
      <c r="K4088" s="3"/>
      <c r="L4088" s="3"/>
    </row>
    <row r="4089" spans="2:12" x14ac:dyDescent="0.3">
      <c r="B4089" s="1"/>
      <c r="C4089" s="1"/>
      <c r="I4089" s="3"/>
      <c r="J4089" s="3"/>
      <c r="K4089" s="3"/>
      <c r="L4089" s="3"/>
    </row>
    <row r="4090" spans="2:12" x14ac:dyDescent="0.3">
      <c r="B4090" s="1"/>
      <c r="C4090" s="1"/>
      <c r="I4090" s="3"/>
      <c r="J4090" s="3"/>
      <c r="K4090" s="3"/>
      <c r="L4090" s="3"/>
    </row>
    <row r="4091" spans="2:12" x14ac:dyDescent="0.3">
      <c r="B4091" s="1"/>
      <c r="C4091" s="1"/>
      <c r="I4091" s="3"/>
      <c r="J4091" s="3"/>
      <c r="K4091" s="3"/>
      <c r="L4091" s="3"/>
    </row>
    <row r="4092" spans="2:12" x14ac:dyDescent="0.3">
      <c r="B4092" s="1"/>
      <c r="C4092" s="1"/>
      <c r="I4092" s="3"/>
      <c r="J4092" s="3"/>
      <c r="K4092" s="3"/>
      <c r="L4092" s="3"/>
    </row>
    <row r="4093" spans="2:12" x14ac:dyDescent="0.3">
      <c r="B4093" s="1"/>
      <c r="C4093" s="1"/>
      <c r="I4093" s="3"/>
      <c r="J4093" s="3"/>
      <c r="K4093" s="3"/>
      <c r="L4093" s="3"/>
    </row>
    <row r="4094" spans="2:12" x14ac:dyDescent="0.3">
      <c r="B4094" s="1"/>
      <c r="C4094" s="1"/>
      <c r="I4094" s="3"/>
      <c r="J4094" s="3"/>
      <c r="K4094" s="3"/>
      <c r="L4094" s="3"/>
    </row>
    <row r="4095" spans="2:12" x14ac:dyDescent="0.3">
      <c r="B4095" s="1"/>
      <c r="C4095" s="1"/>
      <c r="I4095" s="3"/>
      <c r="J4095" s="3"/>
      <c r="K4095" s="3"/>
      <c r="L4095" s="3"/>
    </row>
    <row r="4096" spans="2:12" x14ac:dyDescent="0.3">
      <c r="B4096" s="1"/>
      <c r="C4096" s="1"/>
      <c r="I4096" s="3"/>
      <c r="J4096" s="3"/>
      <c r="K4096" s="3"/>
      <c r="L4096" s="3"/>
    </row>
    <row r="4097" spans="2:12" x14ac:dyDescent="0.3">
      <c r="B4097" s="1"/>
      <c r="C4097" s="1"/>
      <c r="I4097" s="3"/>
      <c r="J4097" s="3"/>
      <c r="K4097" s="3"/>
      <c r="L4097" s="3"/>
    </row>
    <row r="4098" spans="2:12" x14ac:dyDescent="0.3">
      <c r="B4098" s="1"/>
      <c r="C4098" s="1"/>
      <c r="I4098" s="3"/>
      <c r="J4098" s="3"/>
      <c r="K4098" s="3"/>
      <c r="L4098" s="3"/>
    </row>
    <row r="4099" spans="2:12" x14ac:dyDescent="0.3">
      <c r="B4099" s="1"/>
      <c r="C4099" s="1"/>
      <c r="I4099" s="3"/>
      <c r="J4099" s="3"/>
      <c r="K4099" s="3"/>
      <c r="L4099" s="3"/>
    </row>
    <row r="4100" spans="2:12" x14ac:dyDescent="0.3">
      <c r="B4100" s="1"/>
      <c r="C4100" s="1"/>
      <c r="I4100" s="3"/>
      <c r="J4100" s="3"/>
      <c r="K4100" s="3"/>
      <c r="L4100" s="3"/>
    </row>
    <row r="4101" spans="2:12" x14ac:dyDescent="0.3">
      <c r="B4101" s="1"/>
      <c r="C4101" s="1"/>
      <c r="I4101" s="3"/>
      <c r="J4101" s="3"/>
      <c r="K4101" s="3"/>
      <c r="L4101" s="3"/>
    </row>
    <row r="4102" spans="2:12" x14ac:dyDescent="0.3">
      <c r="B4102" s="1"/>
      <c r="C4102" s="1"/>
      <c r="I4102" s="3"/>
      <c r="J4102" s="3"/>
      <c r="K4102" s="3"/>
      <c r="L4102" s="3"/>
    </row>
    <row r="4103" spans="2:12" x14ac:dyDescent="0.3">
      <c r="B4103" s="1"/>
      <c r="C4103" s="1"/>
      <c r="I4103" s="3"/>
      <c r="J4103" s="3"/>
      <c r="K4103" s="3"/>
      <c r="L4103" s="3"/>
    </row>
    <row r="4104" spans="2:12" x14ac:dyDescent="0.3">
      <c r="B4104" s="1"/>
      <c r="C4104" s="1"/>
      <c r="I4104" s="3"/>
      <c r="J4104" s="3"/>
      <c r="K4104" s="3"/>
      <c r="L4104" s="3"/>
    </row>
    <row r="4105" spans="2:12" x14ac:dyDescent="0.3">
      <c r="B4105" s="1"/>
      <c r="C4105" s="1"/>
      <c r="I4105" s="3"/>
      <c r="J4105" s="3"/>
      <c r="K4105" s="3"/>
      <c r="L4105" s="3"/>
    </row>
    <row r="4106" spans="2:12" x14ac:dyDescent="0.3">
      <c r="B4106" s="1"/>
      <c r="C4106" s="1"/>
      <c r="I4106" s="3"/>
      <c r="J4106" s="3"/>
      <c r="K4106" s="3"/>
      <c r="L4106" s="3"/>
    </row>
    <row r="4107" spans="2:12" x14ac:dyDescent="0.3">
      <c r="B4107" s="1"/>
      <c r="C4107" s="1"/>
      <c r="I4107" s="3"/>
      <c r="J4107" s="3"/>
      <c r="K4107" s="3"/>
      <c r="L4107" s="3"/>
    </row>
    <row r="4108" spans="2:12" x14ac:dyDescent="0.3">
      <c r="B4108" s="1"/>
      <c r="C4108" s="1"/>
      <c r="I4108" s="3"/>
      <c r="J4108" s="3"/>
      <c r="K4108" s="3"/>
      <c r="L4108" s="3"/>
    </row>
    <row r="4109" spans="2:12" x14ac:dyDescent="0.3">
      <c r="B4109" s="1"/>
      <c r="C4109" s="1"/>
      <c r="I4109" s="3"/>
      <c r="J4109" s="3"/>
      <c r="K4109" s="3"/>
      <c r="L4109" s="3"/>
    </row>
    <row r="4110" spans="2:12" x14ac:dyDescent="0.3">
      <c r="B4110" s="1"/>
      <c r="C4110" s="1"/>
      <c r="I4110" s="3"/>
      <c r="J4110" s="3"/>
      <c r="K4110" s="3"/>
      <c r="L4110" s="3"/>
    </row>
    <row r="4111" spans="2:12" x14ac:dyDescent="0.3">
      <c r="B4111" s="1"/>
      <c r="C4111" s="1"/>
      <c r="I4111" s="3"/>
      <c r="J4111" s="3"/>
      <c r="K4111" s="3"/>
      <c r="L4111" s="3"/>
    </row>
    <row r="4112" spans="2:12" x14ac:dyDescent="0.3">
      <c r="B4112" s="1"/>
      <c r="C4112" s="1"/>
      <c r="I4112" s="3"/>
      <c r="J4112" s="3"/>
      <c r="K4112" s="3"/>
      <c r="L4112" s="3"/>
    </row>
    <row r="4113" spans="2:12" x14ac:dyDescent="0.3">
      <c r="B4113" s="1"/>
      <c r="C4113" s="1"/>
      <c r="I4113" s="3"/>
      <c r="J4113" s="3"/>
      <c r="K4113" s="3"/>
      <c r="L4113" s="3"/>
    </row>
    <row r="4114" spans="2:12" x14ac:dyDescent="0.3">
      <c r="B4114" s="1"/>
      <c r="C4114" s="1"/>
      <c r="I4114" s="3"/>
      <c r="J4114" s="3"/>
      <c r="K4114" s="3"/>
      <c r="L4114" s="3"/>
    </row>
    <row r="4115" spans="2:12" x14ac:dyDescent="0.3">
      <c r="B4115" s="1"/>
      <c r="C4115" s="1"/>
      <c r="I4115" s="3"/>
      <c r="J4115" s="3"/>
      <c r="K4115" s="3"/>
      <c r="L4115" s="3"/>
    </row>
    <row r="4116" spans="2:12" x14ac:dyDescent="0.3">
      <c r="B4116" s="1"/>
      <c r="C4116" s="1"/>
      <c r="I4116" s="3"/>
      <c r="J4116" s="3"/>
      <c r="K4116" s="3"/>
      <c r="L4116" s="3"/>
    </row>
    <row r="4117" spans="2:12" x14ac:dyDescent="0.3">
      <c r="B4117" s="1"/>
      <c r="C4117" s="1"/>
      <c r="I4117" s="3"/>
      <c r="J4117" s="3"/>
      <c r="K4117" s="3"/>
      <c r="L4117" s="3"/>
    </row>
    <row r="4118" spans="2:12" x14ac:dyDescent="0.3">
      <c r="B4118" s="1"/>
      <c r="C4118" s="1"/>
      <c r="I4118" s="3"/>
      <c r="J4118" s="3"/>
      <c r="K4118" s="3"/>
      <c r="L4118" s="3"/>
    </row>
    <row r="4119" spans="2:12" x14ac:dyDescent="0.3">
      <c r="B4119" s="1"/>
      <c r="C4119" s="1"/>
      <c r="I4119" s="3"/>
      <c r="J4119" s="3"/>
      <c r="K4119" s="3"/>
      <c r="L4119" s="3"/>
    </row>
    <row r="4120" spans="2:12" x14ac:dyDescent="0.3">
      <c r="B4120" s="1"/>
      <c r="C4120" s="1"/>
      <c r="I4120" s="3"/>
      <c r="J4120" s="3"/>
      <c r="K4120" s="3"/>
      <c r="L4120" s="3"/>
    </row>
    <row r="4121" spans="2:12" x14ac:dyDescent="0.3">
      <c r="B4121" s="1"/>
      <c r="C4121" s="1"/>
      <c r="I4121" s="3"/>
      <c r="J4121" s="3"/>
      <c r="K4121" s="3"/>
      <c r="L4121" s="3"/>
    </row>
    <row r="4122" spans="2:12" x14ac:dyDescent="0.3">
      <c r="B4122" s="1"/>
      <c r="C4122" s="1"/>
      <c r="I4122" s="3"/>
      <c r="J4122" s="3"/>
      <c r="K4122" s="3"/>
      <c r="L4122" s="3"/>
    </row>
    <row r="4123" spans="2:12" x14ac:dyDescent="0.3">
      <c r="B4123" s="1"/>
      <c r="C4123" s="1"/>
      <c r="I4123" s="3"/>
      <c r="J4123" s="3"/>
      <c r="K4123" s="3"/>
      <c r="L4123" s="3"/>
    </row>
    <row r="4124" spans="2:12" x14ac:dyDescent="0.3">
      <c r="B4124" s="1"/>
      <c r="C4124" s="1"/>
      <c r="I4124" s="3"/>
      <c r="J4124" s="3"/>
      <c r="K4124" s="3"/>
      <c r="L4124" s="3"/>
    </row>
    <row r="4125" spans="2:12" x14ac:dyDescent="0.3">
      <c r="B4125" s="1"/>
      <c r="C4125" s="1"/>
      <c r="I4125" s="3"/>
      <c r="J4125" s="3"/>
      <c r="K4125" s="3"/>
      <c r="L4125" s="3"/>
    </row>
    <row r="4126" spans="2:12" x14ac:dyDescent="0.3">
      <c r="B4126" s="1"/>
      <c r="C4126" s="1"/>
      <c r="I4126" s="3"/>
      <c r="J4126" s="3"/>
      <c r="K4126" s="3"/>
      <c r="L4126" s="3"/>
    </row>
    <row r="4127" spans="2:12" x14ac:dyDescent="0.3">
      <c r="B4127" s="1"/>
      <c r="C4127" s="1"/>
      <c r="I4127" s="3"/>
      <c r="J4127" s="3"/>
      <c r="K4127" s="3"/>
      <c r="L4127" s="3"/>
    </row>
    <row r="4128" spans="2:12" x14ac:dyDescent="0.3">
      <c r="B4128" s="1"/>
      <c r="C4128" s="1"/>
      <c r="I4128" s="3"/>
      <c r="J4128" s="3"/>
      <c r="K4128" s="3"/>
      <c r="L4128" s="3"/>
    </row>
    <row r="4129" spans="2:12" x14ac:dyDescent="0.3">
      <c r="B4129" s="1"/>
      <c r="C4129" s="1"/>
      <c r="I4129" s="3"/>
      <c r="J4129" s="3"/>
      <c r="K4129" s="3"/>
      <c r="L4129" s="3"/>
    </row>
    <row r="4130" spans="2:12" x14ac:dyDescent="0.3">
      <c r="B4130" s="1"/>
      <c r="C4130" s="1"/>
      <c r="I4130" s="3"/>
      <c r="J4130" s="3"/>
      <c r="K4130" s="3"/>
      <c r="L4130" s="3"/>
    </row>
    <row r="4131" spans="2:12" x14ac:dyDescent="0.3">
      <c r="B4131" s="1"/>
      <c r="C4131" s="1"/>
      <c r="I4131" s="3"/>
      <c r="J4131" s="3"/>
      <c r="K4131" s="3"/>
      <c r="L4131" s="3"/>
    </row>
    <row r="4132" spans="2:12" x14ac:dyDescent="0.3">
      <c r="B4132" s="1"/>
      <c r="C4132" s="1"/>
      <c r="I4132" s="3"/>
      <c r="J4132" s="3"/>
      <c r="K4132" s="3"/>
      <c r="L4132" s="3"/>
    </row>
    <row r="4133" spans="2:12" x14ac:dyDescent="0.3">
      <c r="B4133" s="1"/>
      <c r="C4133" s="1"/>
      <c r="I4133" s="3"/>
      <c r="J4133" s="3"/>
      <c r="K4133" s="3"/>
      <c r="L4133" s="3"/>
    </row>
    <row r="4134" spans="2:12" x14ac:dyDescent="0.3">
      <c r="B4134" s="1"/>
      <c r="C4134" s="1"/>
      <c r="I4134" s="3"/>
      <c r="J4134" s="3"/>
      <c r="K4134" s="3"/>
      <c r="L4134" s="3"/>
    </row>
    <row r="4135" spans="2:12" x14ac:dyDescent="0.3">
      <c r="B4135" s="1"/>
      <c r="C4135" s="1"/>
      <c r="I4135" s="3"/>
      <c r="J4135" s="3"/>
      <c r="K4135" s="3"/>
      <c r="L4135" s="3"/>
    </row>
    <row r="4136" spans="2:12" x14ac:dyDescent="0.3">
      <c r="B4136" s="1"/>
      <c r="C4136" s="1"/>
      <c r="I4136" s="3"/>
      <c r="J4136" s="3"/>
      <c r="K4136" s="3"/>
      <c r="L4136" s="3"/>
    </row>
    <row r="4137" spans="2:12" x14ac:dyDescent="0.3">
      <c r="B4137" s="1"/>
      <c r="C4137" s="1"/>
      <c r="I4137" s="3"/>
      <c r="J4137" s="3"/>
      <c r="K4137" s="3"/>
      <c r="L4137" s="3"/>
    </row>
    <row r="4138" spans="2:12" x14ac:dyDescent="0.3">
      <c r="B4138" s="1"/>
      <c r="C4138" s="1"/>
      <c r="I4138" s="3"/>
      <c r="J4138" s="3"/>
      <c r="K4138" s="3"/>
      <c r="L4138" s="3"/>
    </row>
    <row r="4139" spans="2:12" x14ac:dyDescent="0.3">
      <c r="B4139" s="1"/>
      <c r="C4139" s="1"/>
      <c r="I4139" s="3"/>
      <c r="J4139" s="3"/>
      <c r="K4139" s="3"/>
      <c r="L4139" s="3"/>
    </row>
    <row r="4140" spans="2:12" x14ac:dyDescent="0.3">
      <c r="B4140" s="1"/>
      <c r="C4140" s="1"/>
      <c r="I4140" s="3"/>
      <c r="J4140" s="3"/>
      <c r="K4140" s="3"/>
      <c r="L4140" s="3"/>
    </row>
    <row r="4141" spans="2:12" x14ac:dyDescent="0.3">
      <c r="B4141" s="1"/>
      <c r="C4141" s="1"/>
      <c r="I4141" s="3"/>
      <c r="J4141" s="3"/>
      <c r="K4141" s="3"/>
      <c r="L4141" s="3"/>
    </row>
    <row r="4142" spans="2:12" x14ac:dyDescent="0.3">
      <c r="B4142" s="1"/>
      <c r="C4142" s="1"/>
      <c r="I4142" s="3"/>
      <c r="J4142" s="3"/>
      <c r="K4142" s="3"/>
      <c r="L4142" s="3"/>
    </row>
    <row r="4143" spans="2:12" x14ac:dyDescent="0.3">
      <c r="B4143" s="1"/>
      <c r="C4143" s="1"/>
      <c r="I4143" s="3"/>
      <c r="J4143" s="3"/>
      <c r="K4143" s="3"/>
      <c r="L4143" s="3"/>
    </row>
    <row r="4144" spans="2:12" x14ac:dyDescent="0.3">
      <c r="B4144" s="1"/>
      <c r="C4144" s="1"/>
      <c r="I4144" s="3"/>
      <c r="J4144" s="3"/>
      <c r="K4144" s="3"/>
      <c r="L4144" s="3"/>
    </row>
    <row r="4145" spans="2:12" x14ac:dyDescent="0.3">
      <c r="B4145" s="1"/>
      <c r="C4145" s="1"/>
      <c r="I4145" s="3"/>
      <c r="J4145" s="3"/>
      <c r="K4145" s="3"/>
      <c r="L4145" s="3"/>
    </row>
    <row r="4146" spans="2:12" x14ac:dyDescent="0.3">
      <c r="B4146" s="1"/>
      <c r="C4146" s="1"/>
      <c r="I4146" s="3"/>
      <c r="J4146" s="3"/>
      <c r="K4146" s="3"/>
      <c r="L4146" s="3"/>
    </row>
    <row r="4147" spans="2:12" x14ac:dyDescent="0.3">
      <c r="B4147" s="1"/>
      <c r="C4147" s="1"/>
      <c r="I4147" s="3"/>
      <c r="J4147" s="3"/>
      <c r="K4147" s="3"/>
      <c r="L4147" s="3"/>
    </row>
    <row r="4148" spans="2:12" x14ac:dyDescent="0.3">
      <c r="B4148" s="1"/>
      <c r="C4148" s="1"/>
      <c r="I4148" s="3"/>
      <c r="J4148" s="3"/>
      <c r="K4148" s="3"/>
      <c r="L4148" s="3"/>
    </row>
    <row r="4149" spans="2:12" x14ac:dyDescent="0.3">
      <c r="B4149" s="1"/>
      <c r="C4149" s="1"/>
      <c r="I4149" s="3"/>
      <c r="J4149" s="3"/>
      <c r="K4149" s="3"/>
      <c r="L4149" s="3"/>
    </row>
    <row r="4150" spans="2:12" x14ac:dyDescent="0.3">
      <c r="B4150" s="1"/>
      <c r="C4150" s="1"/>
      <c r="I4150" s="3"/>
      <c r="J4150" s="3"/>
      <c r="K4150" s="3"/>
      <c r="L4150" s="3"/>
    </row>
    <row r="4151" spans="2:12" x14ac:dyDescent="0.3">
      <c r="B4151" s="1"/>
      <c r="C4151" s="1"/>
      <c r="I4151" s="3"/>
      <c r="J4151" s="3"/>
      <c r="K4151" s="3"/>
      <c r="L4151" s="3"/>
    </row>
    <row r="4152" spans="2:12" x14ac:dyDescent="0.3">
      <c r="B4152" s="1"/>
      <c r="C4152" s="1"/>
      <c r="I4152" s="3"/>
      <c r="J4152" s="3"/>
      <c r="K4152" s="3"/>
      <c r="L4152" s="3"/>
    </row>
    <row r="4153" spans="2:12" x14ac:dyDescent="0.3">
      <c r="B4153" s="1"/>
      <c r="C4153" s="1"/>
      <c r="I4153" s="3"/>
      <c r="J4153" s="3"/>
      <c r="K4153" s="3"/>
      <c r="L4153" s="3"/>
    </row>
    <row r="4154" spans="2:12" x14ac:dyDescent="0.3">
      <c r="B4154" s="1"/>
      <c r="C4154" s="1"/>
      <c r="I4154" s="3"/>
      <c r="J4154" s="3"/>
      <c r="K4154" s="3"/>
      <c r="L4154" s="3"/>
    </row>
    <row r="4155" spans="2:12" x14ac:dyDescent="0.3">
      <c r="B4155" s="1"/>
      <c r="C4155" s="1"/>
      <c r="I4155" s="3"/>
      <c r="J4155" s="3"/>
      <c r="K4155" s="3"/>
      <c r="L4155" s="3"/>
    </row>
    <row r="4156" spans="2:12" x14ac:dyDescent="0.3">
      <c r="B4156" s="1"/>
      <c r="C4156" s="1"/>
      <c r="I4156" s="3"/>
      <c r="J4156" s="3"/>
      <c r="K4156" s="3"/>
      <c r="L4156" s="3"/>
    </row>
    <row r="4157" spans="2:12" x14ac:dyDescent="0.3">
      <c r="B4157" s="1"/>
      <c r="C4157" s="1"/>
      <c r="I4157" s="3"/>
      <c r="J4157" s="3"/>
      <c r="K4157" s="3"/>
      <c r="L4157" s="3"/>
    </row>
    <row r="4158" spans="2:12" x14ac:dyDescent="0.3">
      <c r="B4158" s="1"/>
      <c r="C4158" s="1"/>
      <c r="I4158" s="3"/>
      <c r="J4158" s="3"/>
      <c r="K4158" s="3"/>
      <c r="L4158" s="3"/>
    </row>
    <row r="4159" spans="2:12" x14ac:dyDescent="0.3">
      <c r="B4159" s="1"/>
      <c r="C4159" s="1"/>
      <c r="I4159" s="3"/>
      <c r="J4159" s="3"/>
      <c r="K4159" s="3"/>
      <c r="L4159" s="3"/>
    </row>
    <row r="4160" spans="2:12" x14ac:dyDescent="0.3">
      <c r="B4160" s="1"/>
      <c r="C4160" s="1"/>
      <c r="I4160" s="3"/>
      <c r="J4160" s="3"/>
      <c r="K4160" s="3"/>
      <c r="L4160" s="3"/>
    </row>
    <row r="4161" spans="2:12" x14ac:dyDescent="0.3">
      <c r="B4161" s="1"/>
      <c r="C4161" s="1"/>
      <c r="I4161" s="3"/>
      <c r="J4161" s="3"/>
      <c r="K4161" s="3"/>
      <c r="L4161" s="3"/>
    </row>
    <row r="4162" spans="2:12" x14ac:dyDescent="0.3">
      <c r="B4162" s="1"/>
      <c r="C4162" s="1"/>
      <c r="I4162" s="3"/>
      <c r="J4162" s="3"/>
      <c r="K4162" s="3"/>
      <c r="L4162" s="3"/>
    </row>
    <row r="4163" spans="2:12" x14ac:dyDescent="0.3">
      <c r="B4163" s="1"/>
      <c r="C4163" s="1"/>
      <c r="I4163" s="3"/>
      <c r="J4163" s="3"/>
      <c r="K4163" s="3"/>
      <c r="L4163" s="3"/>
    </row>
    <row r="4164" spans="2:12" x14ac:dyDescent="0.3">
      <c r="B4164" s="1"/>
      <c r="C4164" s="1"/>
      <c r="I4164" s="3"/>
      <c r="J4164" s="3"/>
      <c r="K4164" s="3"/>
      <c r="L4164" s="3"/>
    </row>
    <row r="4165" spans="2:12" x14ac:dyDescent="0.3">
      <c r="B4165" s="1"/>
      <c r="C4165" s="1"/>
      <c r="I4165" s="3"/>
      <c r="J4165" s="3"/>
      <c r="K4165" s="3"/>
      <c r="L4165" s="3"/>
    </row>
    <row r="4166" spans="2:12" x14ac:dyDescent="0.3">
      <c r="B4166" s="1"/>
      <c r="C4166" s="1"/>
      <c r="I4166" s="3"/>
      <c r="J4166" s="3"/>
      <c r="K4166" s="3"/>
      <c r="L4166" s="3"/>
    </row>
    <row r="4167" spans="2:12" x14ac:dyDescent="0.3">
      <c r="B4167" s="1"/>
      <c r="C4167" s="1"/>
      <c r="I4167" s="3"/>
      <c r="J4167" s="3"/>
      <c r="K4167" s="3"/>
      <c r="L4167" s="3"/>
    </row>
    <row r="4168" spans="2:12" x14ac:dyDescent="0.3">
      <c r="B4168" s="1"/>
      <c r="C4168" s="1"/>
      <c r="I4168" s="3"/>
      <c r="J4168" s="3"/>
      <c r="K4168" s="3"/>
      <c r="L4168" s="3"/>
    </row>
    <row r="4169" spans="2:12" x14ac:dyDescent="0.3">
      <c r="B4169" s="1"/>
      <c r="C4169" s="1"/>
      <c r="I4169" s="3"/>
      <c r="J4169" s="3"/>
      <c r="K4169" s="3"/>
      <c r="L4169" s="3"/>
    </row>
    <row r="4170" spans="2:12" x14ac:dyDescent="0.3">
      <c r="B4170" s="1"/>
      <c r="C4170" s="1"/>
      <c r="I4170" s="3"/>
      <c r="J4170" s="3"/>
      <c r="K4170" s="3"/>
      <c r="L4170" s="3"/>
    </row>
    <row r="4171" spans="2:12" x14ac:dyDescent="0.3">
      <c r="B4171" s="1"/>
      <c r="C4171" s="1"/>
      <c r="I4171" s="3"/>
      <c r="J4171" s="3"/>
      <c r="K4171" s="3"/>
      <c r="L4171" s="3"/>
    </row>
    <row r="4172" spans="2:12" x14ac:dyDescent="0.3">
      <c r="B4172" s="1"/>
      <c r="C4172" s="1"/>
      <c r="I4172" s="3"/>
      <c r="J4172" s="3"/>
      <c r="K4172" s="3"/>
      <c r="L4172" s="3"/>
    </row>
    <row r="4173" spans="2:12" x14ac:dyDescent="0.3">
      <c r="B4173" s="1"/>
      <c r="C4173" s="1"/>
      <c r="I4173" s="3"/>
      <c r="J4173" s="3"/>
      <c r="K4173" s="3"/>
      <c r="L4173" s="3"/>
    </row>
    <row r="4174" spans="2:12" x14ac:dyDescent="0.3">
      <c r="B4174" s="1"/>
      <c r="C4174" s="1"/>
      <c r="I4174" s="3"/>
      <c r="J4174" s="3"/>
      <c r="K4174" s="3"/>
      <c r="L4174" s="3"/>
    </row>
    <row r="4175" spans="2:12" x14ac:dyDescent="0.3">
      <c r="B4175" s="1"/>
      <c r="C4175" s="1"/>
      <c r="I4175" s="3"/>
      <c r="J4175" s="3"/>
      <c r="K4175" s="3"/>
      <c r="L4175" s="3"/>
    </row>
    <row r="4176" spans="2:12" x14ac:dyDescent="0.3">
      <c r="B4176" s="1"/>
      <c r="C4176" s="1"/>
      <c r="I4176" s="3"/>
      <c r="J4176" s="3"/>
      <c r="K4176" s="3"/>
      <c r="L4176" s="3"/>
    </row>
    <row r="4177" spans="2:12" x14ac:dyDescent="0.3">
      <c r="B4177" s="1"/>
      <c r="C4177" s="1"/>
      <c r="I4177" s="3"/>
      <c r="J4177" s="3"/>
      <c r="K4177" s="3"/>
      <c r="L4177" s="3"/>
    </row>
    <row r="4178" spans="2:12" x14ac:dyDescent="0.3">
      <c r="B4178" s="1"/>
      <c r="C4178" s="1"/>
      <c r="I4178" s="3"/>
      <c r="J4178" s="3"/>
      <c r="K4178" s="3"/>
      <c r="L4178" s="3"/>
    </row>
    <row r="4179" spans="2:12" x14ac:dyDescent="0.3">
      <c r="B4179" s="1"/>
      <c r="C4179" s="1"/>
      <c r="I4179" s="3"/>
      <c r="J4179" s="3"/>
      <c r="K4179" s="3"/>
      <c r="L4179" s="3"/>
    </row>
    <row r="4180" spans="2:12" x14ac:dyDescent="0.3">
      <c r="B4180" s="1"/>
      <c r="C4180" s="1"/>
      <c r="I4180" s="3"/>
      <c r="J4180" s="3"/>
      <c r="K4180" s="3"/>
      <c r="L4180" s="3"/>
    </row>
    <row r="4181" spans="2:12" x14ac:dyDescent="0.3">
      <c r="B4181" s="1"/>
      <c r="C4181" s="1"/>
      <c r="I4181" s="3"/>
      <c r="J4181" s="3"/>
      <c r="K4181" s="3"/>
      <c r="L4181" s="3"/>
    </row>
    <row r="4182" spans="2:12" x14ac:dyDescent="0.3">
      <c r="B4182" s="1"/>
      <c r="C4182" s="1"/>
      <c r="I4182" s="3"/>
      <c r="J4182" s="3"/>
      <c r="K4182" s="3"/>
      <c r="L4182" s="3"/>
    </row>
    <row r="4183" spans="2:12" x14ac:dyDescent="0.3">
      <c r="B4183" s="1"/>
      <c r="C4183" s="1"/>
      <c r="I4183" s="3"/>
      <c r="J4183" s="3"/>
      <c r="K4183" s="3"/>
      <c r="L4183" s="3"/>
    </row>
    <row r="4184" spans="2:12" x14ac:dyDescent="0.3">
      <c r="B4184" s="1"/>
      <c r="C4184" s="1"/>
      <c r="I4184" s="3"/>
      <c r="J4184" s="3"/>
      <c r="K4184" s="3"/>
      <c r="L4184" s="3"/>
    </row>
    <row r="4185" spans="2:12" x14ac:dyDescent="0.3">
      <c r="B4185" s="1"/>
      <c r="C4185" s="1"/>
      <c r="I4185" s="3"/>
      <c r="J4185" s="3"/>
      <c r="K4185" s="3"/>
      <c r="L4185" s="3"/>
    </row>
    <row r="4186" spans="2:12" x14ac:dyDescent="0.3">
      <c r="B4186" s="1"/>
      <c r="C4186" s="1"/>
      <c r="I4186" s="3"/>
      <c r="J4186" s="3"/>
      <c r="K4186" s="3"/>
      <c r="L4186" s="3"/>
    </row>
    <row r="4187" spans="2:12" x14ac:dyDescent="0.3">
      <c r="B4187" s="1"/>
      <c r="C4187" s="1"/>
      <c r="I4187" s="3"/>
      <c r="J4187" s="3"/>
      <c r="K4187" s="3"/>
      <c r="L4187" s="3"/>
    </row>
    <row r="4188" spans="2:12" x14ac:dyDescent="0.3">
      <c r="B4188" s="1"/>
      <c r="C4188" s="1"/>
      <c r="I4188" s="3"/>
      <c r="J4188" s="3"/>
      <c r="K4188" s="3"/>
      <c r="L4188" s="3"/>
    </row>
    <row r="4189" spans="2:12" x14ac:dyDescent="0.3">
      <c r="B4189" s="1"/>
      <c r="C4189" s="1"/>
      <c r="I4189" s="3"/>
      <c r="J4189" s="3"/>
      <c r="K4189" s="3"/>
      <c r="L4189" s="3"/>
    </row>
    <row r="4190" spans="2:12" x14ac:dyDescent="0.3">
      <c r="B4190" s="1"/>
      <c r="C4190" s="1"/>
      <c r="I4190" s="3"/>
      <c r="J4190" s="3"/>
      <c r="K4190" s="3"/>
      <c r="L4190" s="3"/>
    </row>
    <row r="4191" spans="2:12" x14ac:dyDescent="0.3">
      <c r="B4191" s="1"/>
      <c r="C4191" s="1"/>
      <c r="I4191" s="3"/>
      <c r="J4191" s="3"/>
      <c r="K4191" s="3"/>
      <c r="L4191" s="3"/>
    </row>
    <row r="4192" spans="2:12" x14ac:dyDescent="0.3">
      <c r="B4192" s="1"/>
      <c r="C4192" s="1"/>
      <c r="I4192" s="3"/>
      <c r="J4192" s="3"/>
      <c r="K4192" s="3"/>
      <c r="L4192" s="3"/>
    </row>
    <row r="4193" spans="2:12" x14ac:dyDescent="0.3">
      <c r="B4193" s="1"/>
      <c r="C4193" s="1"/>
      <c r="I4193" s="3"/>
      <c r="J4193" s="3"/>
      <c r="K4193" s="3"/>
      <c r="L4193" s="3"/>
    </row>
    <row r="4194" spans="2:12" x14ac:dyDescent="0.3">
      <c r="B4194" s="1"/>
      <c r="C4194" s="1"/>
      <c r="I4194" s="3"/>
      <c r="J4194" s="3"/>
      <c r="K4194" s="3"/>
      <c r="L4194" s="3"/>
    </row>
    <row r="4195" spans="2:12" x14ac:dyDescent="0.3">
      <c r="B4195" s="1"/>
      <c r="C4195" s="1"/>
      <c r="I4195" s="3"/>
      <c r="J4195" s="3"/>
      <c r="K4195" s="3"/>
      <c r="L4195" s="3"/>
    </row>
    <row r="4196" spans="2:12" x14ac:dyDescent="0.3">
      <c r="B4196" s="1"/>
      <c r="C4196" s="1"/>
      <c r="I4196" s="3"/>
      <c r="J4196" s="3"/>
      <c r="K4196" s="3"/>
      <c r="L4196" s="3"/>
    </row>
    <row r="4197" spans="2:12" x14ac:dyDescent="0.3">
      <c r="B4197" s="1"/>
      <c r="C4197" s="1"/>
      <c r="I4197" s="3"/>
      <c r="J4197" s="3"/>
      <c r="K4197" s="3"/>
      <c r="L4197" s="3"/>
    </row>
    <row r="4198" spans="2:12" x14ac:dyDescent="0.3">
      <c r="B4198" s="1"/>
      <c r="C4198" s="1"/>
      <c r="I4198" s="3"/>
      <c r="J4198" s="3"/>
      <c r="K4198" s="3"/>
      <c r="L4198" s="3"/>
    </row>
    <row r="4199" spans="2:12" x14ac:dyDescent="0.3">
      <c r="B4199" s="1"/>
      <c r="C4199" s="1"/>
      <c r="I4199" s="3"/>
      <c r="J4199" s="3"/>
      <c r="K4199" s="3"/>
      <c r="L4199" s="3"/>
    </row>
    <row r="4200" spans="2:12" x14ac:dyDescent="0.3">
      <c r="B4200" s="1"/>
      <c r="C4200" s="1"/>
      <c r="I4200" s="3"/>
      <c r="J4200" s="3"/>
      <c r="K4200" s="3"/>
      <c r="L4200" s="3"/>
    </row>
    <row r="4201" spans="2:12" x14ac:dyDescent="0.3">
      <c r="B4201" s="1"/>
      <c r="C4201" s="1"/>
      <c r="I4201" s="3"/>
      <c r="J4201" s="3"/>
      <c r="K4201" s="3"/>
      <c r="L4201" s="3"/>
    </row>
    <row r="4202" spans="2:12" x14ac:dyDescent="0.3">
      <c r="B4202" s="1"/>
      <c r="C4202" s="1"/>
      <c r="I4202" s="3"/>
      <c r="J4202" s="3"/>
      <c r="K4202" s="3"/>
      <c r="L4202" s="3"/>
    </row>
    <row r="4203" spans="2:12" x14ac:dyDescent="0.3">
      <c r="B4203" s="1"/>
      <c r="C4203" s="1"/>
      <c r="I4203" s="3"/>
      <c r="J4203" s="3"/>
      <c r="K4203" s="3"/>
      <c r="L4203" s="3"/>
    </row>
    <row r="4204" spans="2:12" x14ac:dyDescent="0.3">
      <c r="B4204" s="1"/>
      <c r="C4204" s="1"/>
      <c r="I4204" s="3"/>
      <c r="J4204" s="3"/>
      <c r="K4204" s="3"/>
      <c r="L4204" s="3"/>
    </row>
    <row r="4205" spans="2:12" x14ac:dyDescent="0.3">
      <c r="B4205" s="1"/>
      <c r="C4205" s="1"/>
      <c r="I4205" s="3"/>
      <c r="J4205" s="3"/>
      <c r="K4205" s="3"/>
      <c r="L4205" s="3"/>
    </row>
    <row r="4206" spans="2:12" x14ac:dyDescent="0.3">
      <c r="B4206" s="1"/>
      <c r="C4206" s="1"/>
      <c r="I4206" s="3"/>
      <c r="J4206" s="3"/>
      <c r="K4206" s="3"/>
      <c r="L4206" s="3"/>
    </row>
    <row r="4207" spans="2:12" x14ac:dyDescent="0.3">
      <c r="B4207" s="1"/>
      <c r="C4207" s="1"/>
      <c r="I4207" s="3"/>
      <c r="J4207" s="3"/>
      <c r="K4207" s="3"/>
      <c r="L4207" s="3"/>
    </row>
    <row r="4208" spans="2:12" x14ac:dyDescent="0.3">
      <c r="B4208" s="1"/>
      <c r="C4208" s="1"/>
      <c r="I4208" s="3"/>
      <c r="J4208" s="3"/>
      <c r="K4208" s="3"/>
      <c r="L4208" s="3"/>
    </row>
    <row r="4209" spans="2:12" x14ac:dyDescent="0.3">
      <c r="B4209" s="1"/>
      <c r="C4209" s="1"/>
      <c r="I4209" s="3"/>
      <c r="J4209" s="3"/>
      <c r="K4209" s="3"/>
      <c r="L4209" s="3"/>
    </row>
    <row r="4210" spans="2:12" x14ac:dyDescent="0.3">
      <c r="B4210" s="1"/>
      <c r="C4210" s="1"/>
      <c r="I4210" s="3"/>
      <c r="J4210" s="3"/>
      <c r="K4210" s="3"/>
      <c r="L4210" s="3"/>
    </row>
    <row r="4211" spans="2:12" x14ac:dyDescent="0.3">
      <c r="B4211" s="1"/>
      <c r="C4211" s="1"/>
      <c r="I4211" s="3"/>
      <c r="J4211" s="3"/>
      <c r="K4211" s="3"/>
      <c r="L4211" s="3"/>
    </row>
    <row r="4212" spans="2:12" x14ac:dyDescent="0.3">
      <c r="B4212" s="1"/>
      <c r="C4212" s="1"/>
      <c r="I4212" s="3"/>
      <c r="J4212" s="3"/>
      <c r="K4212" s="3"/>
      <c r="L4212" s="3"/>
    </row>
    <row r="4213" spans="2:12" x14ac:dyDescent="0.3">
      <c r="B4213" s="1"/>
      <c r="C4213" s="1"/>
      <c r="I4213" s="3"/>
      <c r="J4213" s="3"/>
      <c r="K4213" s="3"/>
      <c r="L4213" s="3"/>
    </row>
    <row r="4214" spans="2:12" x14ac:dyDescent="0.3">
      <c r="B4214" s="1"/>
      <c r="C4214" s="1"/>
      <c r="I4214" s="3"/>
      <c r="J4214" s="3"/>
      <c r="K4214" s="3"/>
      <c r="L4214" s="3"/>
    </row>
    <row r="4215" spans="2:12" x14ac:dyDescent="0.3">
      <c r="B4215" s="1"/>
      <c r="C4215" s="1"/>
      <c r="I4215" s="3"/>
      <c r="J4215" s="3"/>
      <c r="K4215" s="3"/>
      <c r="L4215" s="3"/>
    </row>
    <row r="4216" spans="2:12" x14ac:dyDescent="0.3">
      <c r="B4216" s="1"/>
      <c r="C4216" s="1"/>
      <c r="I4216" s="3"/>
      <c r="J4216" s="3"/>
      <c r="K4216" s="3"/>
      <c r="L4216" s="3"/>
    </row>
    <row r="4217" spans="2:12" x14ac:dyDescent="0.3">
      <c r="B4217" s="1"/>
      <c r="C4217" s="1"/>
      <c r="I4217" s="3"/>
      <c r="J4217" s="3"/>
      <c r="K4217" s="3"/>
      <c r="L4217" s="3"/>
    </row>
    <row r="4218" spans="2:12" x14ac:dyDescent="0.3">
      <c r="B4218" s="1"/>
      <c r="C4218" s="1"/>
      <c r="I4218" s="3"/>
      <c r="J4218" s="3"/>
      <c r="K4218" s="3"/>
      <c r="L4218" s="3"/>
    </row>
    <row r="4219" spans="2:12" x14ac:dyDescent="0.3">
      <c r="B4219" s="1"/>
      <c r="C4219" s="1"/>
      <c r="I4219" s="3"/>
      <c r="J4219" s="3"/>
      <c r="K4219" s="3"/>
      <c r="L4219" s="3"/>
    </row>
    <row r="4220" spans="2:12" x14ac:dyDescent="0.3">
      <c r="B4220" s="1"/>
      <c r="C4220" s="1"/>
      <c r="I4220" s="3"/>
      <c r="J4220" s="3"/>
      <c r="K4220" s="3"/>
      <c r="L4220" s="3"/>
    </row>
    <row r="4221" spans="2:12" x14ac:dyDescent="0.3">
      <c r="B4221" s="1"/>
      <c r="C4221" s="1"/>
      <c r="I4221" s="3"/>
      <c r="J4221" s="3"/>
      <c r="K4221" s="3"/>
      <c r="L4221" s="3"/>
    </row>
    <row r="4222" spans="2:12" x14ac:dyDescent="0.3">
      <c r="B4222" s="1"/>
      <c r="C4222" s="1"/>
      <c r="I4222" s="3"/>
      <c r="J4222" s="3"/>
      <c r="K4222" s="3"/>
      <c r="L4222" s="3"/>
    </row>
    <row r="4223" spans="2:12" x14ac:dyDescent="0.3">
      <c r="B4223" s="1"/>
      <c r="C4223" s="1"/>
      <c r="I4223" s="3"/>
      <c r="J4223" s="3"/>
      <c r="K4223" s="3"/>
      <c r="L4223" s="3"/>
    </row>
    <row r="4224" spans="2:12" x14ac:dyDescent="0.3">
      <c r="B4224" s="1"/>
      <c r="C4224" s="1"/>
      <c r="I4224" s="3"/>
      <c r="J4224" s="3"/>
      <c r="K4224" s="3"/>
      <c r="L4224" s="3"/>
    </row>
    <row r="4225" spans="2:12" x14ac:dyDescent="0.3">
      <c r="B4225" s="1"/>
      <c r="C4225" s="1"/>
      <c r="I4225" s="3"/>
      <c r="J4225" s="3"/>
      <c r="K4225" s="3"/>
      <c r="L4225" s="3"/>
    </row>
    <row r="4226" spans="2:12" x14ac:dyDescent="0.3">
      <c r="B4226" s="1"/>
      <c r="C4226" s="1"/>
      <c r="I4226" s="3"/>
      <c r="J4226" s="3"/>
      <c r="K4226" s="3"/>
      <c r="L4226" s="3"/>
    </row>
    <row r="4227" spans="2:12" x14ac:dyDescent="0.3">
      <c r="B4227" s="1"/>
      <c r="C4227" s="1"/>
      <c r="I4227" s="3"/>
      <c r="J4227" s="3"/>
      <c r="K4227" s="3"/>
      <c r="L4227" s="3"/>
    </row>
    <row r="4228" spans="2:12" x14ac:dyDescent="0.3">
      <c r="B4228" s="1"/>
      <c r="C4228" s="1"/>
      <c r="I4228" s="3"/>
      <c r="J4228" s="3"/>
      <c r="K4228" s="3"/>
      <c r="L4228" s="3"/>
    </row>
    <row r="4229" spans="2:12" x14ac:dyDescent="0.3">
      <c r="B4229" s="1"/>
      <c r="C4229" s="1"/>
      <c r="I4229" s="3"/>
      <c r="J4229" s="3"/>
      <c r="K4229" s="3"/>
      <c r="L4229" s="3"/>
    </row>
    <row r="4230" spans="2:12" x14ac:dyDescent="0.3">
      <c r="B4230" s="1"/>
      <c r="C4230" s="1"/>
      <c r="I4230" s="3"/>
      <c r="J4230" s="3"/>
      <c r="K4230" s="3"/>
      <c r="L4230" s="3"/>
    </row>
    <row r="4231" spans="2:12" x14ac:dyDescent="0.3">
      <c r="B4231" s="1"/>
      <c r="C4231" s="1"/>
      <c r="I4231" s="3"/>
      <c r="J4231" s="3"/>
      <c r="K4231" s="3"/>
      <c r="L4231" s="3"/>
    </row>
    <row r="4232" spans="2:12" x14ac:dyDescent="0.3">
      <c r="B4232" s="1"/>
      <c r="C4232" s="1"/>
      <c r="I4232" s="3"/>
      <c r="J4232" s="3"/>
      <c r="K4232" s="3"/>
      <c r="L4232" s="3"/>
    </row>
    <row r="4233" spans="2:12" x14ac:dyDescent="0.3">
      <c r="B4233" s="1"/>
      <c r="C4233" s="1"/>
      <c r="I4233" s="3"/>
      <c r="J4233" s="3"/>
      <c r="K4233" s="3"/>
      <c r="L4233" s="3"/>
    </row>
    <row r="4234" spans="2:12" x14ac:dyDescent="0.3">
      <c r="B4234" s="1"/>
      <c r="C4234" s="1"/>
      <c r="I4234" s="3"/>
      <c r="J4234" s="3"/>
      <c r="K4234" s="3"/>
      <c r="L4234" s="3"/>
    </row>
    <row r="4235" spans="2:12" x14ac:dyDescent="0.3">
      <c r="B4235" s="1"/>
      <c r="C4235" s="1"/>
      <c r="I4235" s="3"/>
      <c r="J4235" s="3"/>
      <c r="K4235" s="3"/>
      <c r="L4235" s="3"/>
    </row>
    <row r="4236" spans="2:12" x14ac:dyDescent="0.3">
      <c r="B4236" s="1"/>
      <c r="C4236" s="1"/>
      <c r="I4236" s="3"/>
      <c r="J4236" s="3"/>
      <c r="K4236" s="3"/>
      <c r="L4236" s="3"/>
    </row>
    <row r="4237" spans="2:12" x14ac:dyDescent="0.3">
      <c r="B4237" s="1"/>
      <c r="C4237" s="1"/>
      <c r="I4237" s="3"/>
      <c r="J4237" s="3"/>
      <c r="K4237" s="3"/>
      <c r="L4237" s="3"/>
    </row>
    <row r="4238" spans="2:12" x14ac:dyDescent="0.3">
      <c r="B4238" s="1"/>
      <c r="C4238" s="1"/>
      <c r="I4238" s="3"/>
      <c r="J4238" s="3"/>
      <c r="K4238" s="3"/>
      <c r="L4238" s="3"/>
    </row>
    <row r="4239" spans="2:12" x14ac:dyDescent="0.3">
      <c r="B4239" s="1"/>
      <c r="C4239" s="1"/>
      <c r="I4239" s="3"/>
      <c r="J4239" s="3"/>
      <c r="K4239" s="3"/>
      <c r="L4239" s="3"/>
    </row>
    <row r="4240" spans="2:12" x14ac:dyDescent="0.3">
      <c r="B4240" s="1"/>
      <c r="C4240" s="1"/>
      <c r="I4240" s="3"/>
      <c r="J4240" s="3"/>
      <c r="K4240" s="3"/>
      <c r="L4240" s="3"/>
    </row>
    <row r="4241" spans="2:12" x14ac:dyDescent="0.3">
      <c r="B4241" s="1"/>
      <c r="C4241" s="1"/>
      <c r="I4241" s="3"/>
      <c r="J4241" s="3"/>
      <c r="K4241" s="3"/>
      <c r="L4241" s="3"/>
    </row>
    <row r="4242" spans="2:12" x14ac:dyDescent="0.3">
      <c r="B4242" s="1"/>
      <c r="C4242" s="1"/>
      <c r="I4242" s="3"/>
      <c r="J4242" s="3"/>
      <c r="K4242" s="3"/>
      <c r="L4242" s="3"/>
    </row>
    <row r="4243" spans="2:12" x14ac:dyDescent="0.3">
      <c r="B4243" s="1"/>
      <c r="C4243" s="1"/>
      <c r="I4243" s="3"/>
      <c r="J4243" s="3"/>
      <c r="K4243" s="3"/>
      <c r="L4243" s="3"/>
    </row>
    <row r="4244" spans="2:12" x14ac:dyDescent="0.3">
      <c r="B4244" s="1"/>
      <c r="C4244" s="1"/>
      <c r="I4244" s="3"/>
      <c r="J4244" s="3"/>
      <c r="K4244" s="3"/>
      <c r="L4244" s="3"/>
    </row>
    <row r="4245" spans="2:12" x14ac:dyDescent="0.3">
      <c r="B4245" s="1"/>
      <c r="C4245" s="1"/>
      <c r="I4245" s="3"/>
      <c r="J4245" s="3"/>
      <c r="K4245" s="3"/>
      <c r="L4245" s="3"/>
    </row>
    <row r="4246" spans="2:12" x14ac:dyDescent="0.3">
      <c r="B4246" s="1"/>
      <c r="C4246" s="1"/>
      <c r="I4246" s="3"/>
      <c r="J4246" s="3"/>
      <c r="K4246" s="3"/>
      <c r="L4246" s="3"/>
    </row>
    <row r="4247" spans="2:12" x14ac:dyDescent="0.3">
      <c r="B4247" s="1"/>
      <c r="C4247" s="1"/>
      <c r="I4247" s="3"/>
      <c r="J4247" s="3"/>
      <c r="K4247" s="3"/>
      <c r="L4247" s="3"/>
    </row>
    <row r="4248" spans="2:12" x14ac:dyDescent="0.3">
      <c r="B4248" s="1"/>
      <c r="C4248" s="1"/>
      <c r="I4248" s="3"/>
      <c r="J4248" s="3"/>
      <c r="K4248" s="3"/>
      <c r="L4248" s="3"/>
    </row>
    <row r="4249" spans="2:12" x14ac:dyDescent="0.3">
      <c r="B4249" s="1"/>
      <c r="C4249" s="1"/>
      <c r="I4249" s="3"/>
      <c r="J4249" s="3"/>
      <c r="K4249" s="3"/>
      <c r="L4249" s="3"/>
    </row>
    <row r="4250" spans="2:12" x14ac:dyDescent="0.3">
      <c r="B4250" s="1"/>
      <c r="C4250" s="1"/>
      <c r="I4250" s="3"/>
      <c r="J4250" s="3"/>
      <c r="K4250" s="3"/>
      <c r="L4250" s="3"/>
    </row>
    <row r="4251" spans="2:12" x14ac:dyDescent="0.3">
      <c r="B4251" s="1"/>
      <c r="C4251" s="1"/>
      <c r="I4251" s="3"/>
      <c r="J4251" s="3"/>
      <c r="K4251" s="3"/>
      <c r="L4251" s="3"/>
    </row>
    <row r="4252" spans="2:12" x14ac:dyDescent="0.3">
      <c r="B4252" s="1"/>
      <c r="C4252" s="1"/>
      <c r="I4252" s="3"/>
      <c r="J4252" s="3"/>
      <c r="K4252" s="3"/>
      <c r="L4252" s="3"/>
    </row>
    <row r="4253" spans="2:12" x14ac:dyDescent="0.3">
      <c r="B4253" s="1"/>
      <c r="C4253" s="1"/>
      <c r="I4253" s="3"/>
      <c r="J4253" s="3"/>
      <c r="K4253" s="3"/>
      <c r="L4253" s="3"/>
    </row>
    <row r="4254" spans="2:12" x14ac:dyDescent="0.3">
      <c r="B4254" s="1"/>
      <c r="C4254" s="1"/>
      <c r="I4254" s="3"/>
      <c r="J4254" s="3"/>
      <c r="K4254" s="3"/>
      <c r="L4254" s="3"/>
    </row>
    <row r="4255" spans="2:12" x14ac:dyDescent="0.3">
      <c r="B4255" s="1"/>
      <c r="C4255" s="1"/>
      <c r="I4255" s="3"/>
      <c r="J4255" s="3"/>
      <c r="K4255" s="3"/>
      <c r="L4255" s="3"/>
    </row>
    <row r="4256" spans="2:12" x14ac:dyDescent="0.3">
      <c r="B4256" s="1"/>
      <c r="C4256" s="1"/>
      <c r="I4256" s="3"/>
      <c r="J4256" s="3"/>
      <c r="K4256" s="3"/>
      <c r="L4256" s="3"/>
    </row>
    <row r="4257" spans="2:12" x14ac:dyDescent="0.3">
      <c r="B4257" s="1"/>
      <c r="C4257" s="1"/>
      <c r="I4257" s="3"/>
      <c r="J4257" s="3"/>
      <c r="K4257" s="3"/>
      <c r="L4257" s="3"/>
    </row>
    <row r="4258" spans="2:12" x14ac:dyDescent="0.3">
      <c r="B4258" s="1"/>
      <c r="C4258" s="1"/>
      <c r="I4258" s="3"/>
      <c r="J4258" s="3"/>
      <c r="K4258" s="3"/>
      <c r="L4258" s="3"/>
    </row>
    <row r="4259" spans="2:12" x14ac:dyDescent="0.3">
      <c r="B4259" s="1"/>
      <c r="C4259" s="1"/>
      <c r="I4259" s="3"/>
      <c r="J4259" s="3"/>
      <c r="K4259" s="3"/>
      <c r="L4259" s="3"/>
    </row>
    <row r="4260" spans="2:12" x14ac:dyDescent="0.3">
      <c r="B4260" s="1"/>
      <c r="C4260" s="1"/>
      <c r="I4260" s="3"/>
      <c r="J4260" s="3"/>
      <c r="K4260" s="3"/>
      <c r="L4260" s="3"/>
    </row>
    <row r="4261" spans="2:12" x14ac:dyDescent="0.3">
      <c r="B4261" s="1"/>
      <c r="C4261" s="1"/>
      <c r="I4261" s="3"/>
      <c r="J4261" s="3"/>
      <c r="K4261" s="3"/>
      <c r="L4261" s="3"/>
    </row>
    <row r="4262" spans="2:12" x14ac:dyDescent="0.3">
      <c r="B4262" s="1"/>
      <c r="C4262" s="1"/>
      <c r="I4262" s="3"/>
      <c r="J4262" s="3"/>
      <c r="K4262" s="3"/>
      <c r="L4262" s="3"/>
    </row>
    <row r="4263" spans="2:12" x14ac:dyDescent="0.3">
      <c r="B4263" s="1"/>
      <c r="C4263" s="1"/>
      <c r="I4263" s="3"/>
      <c r="J4263" s="3"/>
      <c r="K4263" s="3"/>
      <c r="L4263" s="3"/>
    </row>
    <row r="4264" spans="2:12" x14ac:dyDescent="0.3">
      <c r="B4264" s="1"/>
      <c r="C4264" s="1"/>
      <c r="I4264" s="3"/>
      <c r="J4264" s="3"/>
      <c r="K4264" s="3"/>
      <c r="L4264" s="3"/>
    </row>
    <row r="4265" spans="2:12" x14ac:dyDescent="0.3">
      <c r="B4265" s="1"/>
      <c r="C4265" s="1"/>
      <c r="I4265" s="3"/>
      <c r="J4265" s="3"/>
      <c r="K4265" s="3"/>
      <c r="L4265" s="3"/>
    </row>
    <row r="4266" spans="2:12" x14ac:dyDescent="0.3">
      <c r="B4266" s="1"/>
      <c r="C4266" s="1"/>
      <c r="I4266" s="3"/>
      <c r="J4266" s="3"/>
      <c r="K4266" s="3"/>
      <c r="L4266" s="3"/>
    </row>
    <row r="4267" spans="2:12" x14ac:dyDescent="0.3">
      <c r="B4267" s="1"/>
      <c r="C4267" s="1"/>
      <c r="I4267" s="3"/>
      <c r="J4267" s="3"/>
      <c r="K4267" s="3"/>
      <c r="L4267" s="3"/>
    </row>
    <row r="4268" spans="2:12" x14ac:dyDescent="0.3">
      <c r="B4268" s="1"/>
      <c r="C4268" s="1"/>
      <c r="I4268" s="3"/>
      <c r="J4268" s="3"/>
      <c r="K4268" s="3"/>
      <c r="L4268" s="3"/>
    </row>
    <row r="4269" spans="2:12" x14ac:dyDescent="0.3">
      <c r="B4269" s="1"/>
      <c r="C4269" s="1"/>
      <c r="I4269" s="3"/>
      <c r="J4269" s="3"/>
      <c r="K4269" s="3"/>
      <c r="L4269" s="3"/>
    </row>
    <row r="4270" spans="2:12" x14ac:dyDescent="0.3">
      <c r="B4270" s="1"/>
      <c r="C4270" s="1"/>
      <c r="I4270" s="3"/>
      <c r="J4270" s="3"/>
      <c r="K4270" s="3"/>
      <c r="L4270" s="3"/>
    </row>
    <row r="4271" spans="2:12" x14ac:dyDescent="0.3">
      <c r="B4271" s="1"/>
      <c r="C4271" s="1"/>
      <c r="I4271" s="3"/>
      <c r="J4271" s="3"/>
      <c r="K4271" s="3"/>
      <c r="L4271" s="3"/>
    </row>
    <row r="4272" spans="2:12" x14ac:dyDescent="0.3">
      <c r="B4272" s="1"/>
      <c r="C4272" s="1"/>
      <c r="I4272" s="3"/>
      <c r="J4272" s="3"/>
      <c r="K4272" s="3"/>
      <c r="L4272" s="3"/>
    </row>
    <row r="4273" spans="2:12" x14ac:dyDescent="0.3">
      <c r="B4273" s="1"/>
      <c r="C4273" s="1"/>
      <c r="I4273" s="3"/>
      <c r="J4273" s="3"/>
      <c r="K4273" s="3"/>
      <c r="L4273" s="3"/>
    </row>
    <row r="4274" spans="2:12" x14ac:dyDescent="0.3">
      <c r="B4274" s="1"/>
      <c r="C4274" s="1"/>
      <c r="I4274" s="3"/>
      <c r="J4274" s="3"/>
      <c r="K4274" s="3"/>
      <c r="L4274" s="3"/>
    </row>
    <row r="4275" spans="2:12" x14ac:dyDescent="0.3">
      <c r="B4275" s="1"/>
      <c r="C4275" s="1"/>
      <c r="I4275" s="3"/>
      <c r="J4275" s="3"/>
      <c r="K4275" s="3"/>
      <c r="L4275" s="3"/>
    </row>
    <row r="4276" spans="2:12" x14ac:dyDescent="0.3">
      <c r="B4276" s="1"/>
      <c r="C4276" s="1"/>
      <c r="I4276" s="3"/>
      <c r="J4276" s="3"/>
      <c r="K4276" s="3"/>
      <c r="L4276" s="3"/>
    </row>
    <row r="4277" spans="2:12" x14ac:dyDescent="0.3">
      <c r="B4277" s="1"/>
      <c r="C4277" s="1"/>
      <c r="I4277" s="3"/>
      <c r="J4277" s="3"/>
      <c r="K4277" s="3"/>
      <c r="L4277" s="3"/>
    </row>
    <row r="4278" spans="2:12" x14ac:dyDescent="0.3">
      <c r="B4278" s="1"/>
      <c r="C4278" s="1"/>
      <c r="I4278" s="3"/>
      <c r="J4278" s="3"/>
      <c r="K4278" s="3"/>
      <c r="L4278" s="3"/>
    </row>
    <row r="4279" spans="2:12" x14ac:dyDescent="0.3">
      <c r="B4279" s="1"/>
      <c r="C4279" s="1"/>
      <c r="I4279" s="3"/>
      <c r="J4279" s="3"/>
      <c r="K4279" s="3"/>
      <c r="L4279" s="3"/>
    </row>
    <row r="4280" spans="2:12" x14ac:dyDescent="0.3">
      <c r="B4280" s="1"/>
      <c r="C4280" s="1"/>
      <c r="I4280" s="3"/>
      <c r="J4280" s="3"/>
      <c r="K4280" s="3"/>
      <c r="L4280" s="3"/>
    </row>
    <row r="4281" spans="2:12" x14ac:dyDescent="0.3">
      <c r="B4281" s="1"/>
      <c r="C4281" s="1"/>
      <c r="I4281" s="3"/>
      <c r="J4281" s="3"/>
      <c r="K4281" s="3"/>
      <c r="L4281" s="3"/>
    </row>
    <row r="4282" spans="2:12" x14ac:dyDescent="0.3">
      <c r="B4282" s="1"/>
      <c r="C4282" s="1"/>
      <c r="I4282" s="3"/>
      <c r="J4282" s="3"/>
      <c r="K4282" s="3"/>
      <c r="L4282" s="3"/>
    </row>
    <row r="4283" spans="2:12" x14ac:dyDescent="0.3">
      <c r="B4283" s="1"/>
      <c r="C4283" s="1"/>
      <c r="I4283" s="3"/>
      <c r="J4283" s="3"/>
      <c r="K4283" s="3"/>
      <c r="L4283" s="3"/>
    </row>
    <row r="4284" spans="2:12" x14ac:dyDescent="0.3">
      <c r="B4284" s="1"/>
      <c r="C4284" s="1"/>
      <c r="I4284" s="3"/>
      <c r="J4284" s="3"/>
      <c r="K4284" s="3"/>
      <c r="L4284" s="3"/>
    </row>
    <row r="4285" spans="2:12" x14ac:dyDescent="0.3">
      <c r="B4285" s="1"/>
      <c r="C4285" s="1"/>
      <c r="I4285" s="3"/>
      <c r="J4285" s="3"/>
      <c r="K4285" s="3"/>
      <c r="L4285" s="3"/>
    </row>
    <row r="4286" spans="2:12" x14ac:dyDescent="0.3">
      <c r="B4286" s="1"/>
      <c r="C4286" s="1"/>
      <c r="I4286" s="3"/>
      <c r="J4286" s="3"/>
      <c r="K4286" s="3"/>
      <c r="L4286" s="3"/>
    </row>
    <row r="4287" spans="2:12" x14ac:dyDescent="0.3">
      <c r="B4287" s="1"/>
      <c r="C4287" s="1"/>
      <c r="I4287" s="3"/>
      <c r="J4287" s="3"/>
      <c r="K4287" s="3"/>
      <c r="L4287" s="3"/>
    </row>
    <row r="4288" spans="2:12" x14ac:dyDescent="0.3">
      <c r="B4288" s="1"/>
      <c r="C4288" s="1"/>
      <c r="I4288" s="3"/>
      <c r="J4288" s="3"/>
      <c r="K4288" s="3"/>
      <c r="L4288" s="3"/>
    </row>
    <row r="4289" spans="2:12" x14ac:dyDescent="0.3">
      <c r="B4289" s="1"/>
      <c r="C4289" s="1"/>
      <c r="I4289" s="3"/>
      <c r="J4289" s="3"/>
      <c r="K4289" s="3"/>
      <c r="L4289" s="3"/>
    </row>
    <row r="4290" spans="2:12" x14ac:dyDescent="0.3">
      <c r="B4290" s="1"/>
      <c r="C4290" s="1"/>
      <c r="I4290" s="3"/>
      <c r="J4290" s="3"/>
      <c r="K4290" s="3"/>
      <c r="L4290" s="3"/>
    </row>
    <row r="4291" spans="2:12" x14ac:dyDescent="0.3">
      <c r="B4291" s="1"/>
      <c r="C4291" s="1"/>
      <c r="I4291" s="3"/>
      <c r="J4291" s="3"/>
      <c r="K4291" s="3"/>
      <c r="L4291" s="3"/>
    </row>
    <row r="4292" spans="2:12" x14ac:dyDescent="0.3">
      <c r="B4292" s="1"/>
      <c r="C4292" s="1"/>
      <c r="I4292" s="3"/>
      <c r="J4292" s="3"/>
      <c r="K4292" s="3"/>
      <c r="L4292" s="3"/>
    </row>
    <row r="4293" spans="2:12" x14ac:dyDescent="0.3">
      <c r="B4293" s="1"/>
      <c r="C4293" s="1"/>
      <c r="I4293" s="3"/>
      <c r="J4293" s="3"/>
      <c r="K4293" s="3"/>
      <c r="L4293" s="3"/>
    </row>
    <row r="4294" spans="2:12" x14ac:dyDescent="0.3">
      <c r="B4294" s="1"/>
      <c r="C4294" s="1"/>
      <c r="I4294" s="3"/>
      <c r="J4294" s="3"/>
      <c r="K4294" s="3"/>
      <c r="L4294" s="3"/>
    </row>
    <row r="4295" spans="2:12" x14ac:dyDescent="0.3">
      <c r="B4295" s="1"/>
      <c r="C4295" s="1"/>
      <c r="I4295" s="3"/>
      <c r="J4295" s="3"/>
      <c r="K4295" s="3"/>
      <c r="L4295" s="3"/>
    </row>
    <row r="4296" spans="2:12" x14ac:dyDescent="0.3">
      <c r="B4296" s="1"/>
      <c r="C4296" s="1"/>
      <c r="I4296" s="3"/>
      <c r="J4296" s="3"/>
      <c r="K4296" s="3"/>
      <c r="L4296" s="3"/>
    </row>
    <row r="4297" spans="2:12" x14ac:dyDescent="0.3">
      <c r="B4297" s="1"/>
      <c r="C4297" s="1"/>
      <c r="I4297" s="3"/>
      <c r="J4297" s="3"/>
      <c r="K4297" s="3"/>
      <c r="L4297" s="3"/>
    </row>
    <row r="4298" spans="2:12" x14ac:dyDescent="0.3">
      <c r="B4298" s="1"/>
      <c r="C4298" s="1"/>
      <c r="I4298" s="3"/>
      <c r="J4298" s="3"/>
      <c r="K4298" s="3"/>
      <c r="L4298" s="3"/>
    </row>
    <row r="4299" spans="2:12" x14ac:dyDescent="0.3">
      <c r="B4299" s="1"/>
      <c r="C4299" s="1"/>
      <c r="I4299" s="3"/>
      <c r="J4299" s="3"/>
      <c r="K4299" s="3"/>
      <c r="L4299" s="3"/>
    </row>
    <row r="4300" spans="2:12" x14ac:dyDescent="0.3">
      <c r="B4300" s="1"/>
      <c r="C4300" s="1"/>
      <c r="I4300" s="3"/>
      <c r="J4300" s="3"/>
      <c r="K4300" s="3"/>
      <c r="L4300" s="3"/>
    </row>
    <row r="4301" spans="2:12" x14ac:dyDescent="0.3">
      <c r="B4301" s="1"/>
      <c r="C4301" s="1"/>
      <c r="I4301" s="3"/>
      <c r="J4301" s="3"/>
      <c r="K4301" s="3"/>
      <c r="L4301" s="3"/>
    </row>
    <row r="4302" spans="2:12" x14ac:dyDescent="0.3">
      <c r="B4302" s="1"/>
      <c r="C4302" s="1"/>
      <c r="I4302" s="3"/>
      <c r="J4302" s="3"/>
      <c r="K4302" s="3"/>
      <c r="L4302" s="3"/>
    </row>
    <row r="4303" spans="2:12" x14ac:dyDescent="0.3">
      <c r="B4303" s="1"/>
      <c r="C4303" s="1"/>
      <c r="I4303" s="3"/>
      <c r="J4303" s="3"/>
      <c r="K4303" s="3"/>
      <c r="L4303" s="3"/>
    </row>
    <row r="4304" spans="2:12" x14ac:dyDescent="0.3">
      <c r="B4304" s="1"/>
      <c r="C4304" s="1"/>
      <c r="I4304" s="3"/>
      <c r="J4304" s="3"/>
      <c r="K4304" s="3"/>
      <c r="L4304" s="3"/>
    </row>
    <row r="4305" spans="2:12" x14ac:dyDescent="0.3">
      <c r="B4305" s="1"/>
      <c r="C4305" s="1"/>
      <c r="I4305" s="3"/>
      <c r="J4305" s="3"/>
      <c r="K4305" s="3"/>
      <c r="L4305" s="3"/>
    </row>
    <row r="4306" spans="2:12" x14ac:dyDescent="0.3">
      <c r="B4306" s="1"/>
      <c r="C4306" s="1"/>
      <c r="I4306" s="3"/>
      <c r="J4306" s="3"/>
      <c r="K4306" s="3"/>
      <c r="L4306" s="3"/>
    </row>
    <row r="4307" spans="2:12" x14ac:dyDescent="0.3">
      <c r="B4307" s="1"/>
      <c r="C4307" s="1"/>
      <c r="I4307" s="3"/>
      <c r="J4307" s="3"/>
      <c r="K4307" s="3"/>
      <c r="L4307" s="3"/>
    </row>
    <row r="4308" spans="2:12" x14ac:dyDescent="0.3">
      <c r="B4308" s="1"/>
      <c r="C4308" s="1"/>
      <c r="I4308" s="3"/>
      <c r="J4308" s="3"/>
      <c r="K4308" s="3"/>
      <c r="L4308" s="3"/>
    </row>
    <row r="4309" spans="2:12" x14ac:dyDescent="0.3">
      <c r="B4309" s="1"/>
      <c r="C4309" s="1"/>
      <c r="I4309" s="3"/>
      <c r="J4309" s="3"/>
      <c r="K4309" s="3"/>
      <c r="L4309" s="3"/>
    </row>
    <row r="4310" spans="2:12" x14ac:dyDescent="0.3">
      <c r="B4310" s="1"/>
      <c r="C4310" s="1"/>
      <c r="I4310" s="3"/>
      <c r="J4310" s="3"/>
      <c r="K4310" s="3"/>
      <c r="L4310" s="3"/>
    </row>
    <row r="4311" spans="2:12" x14ac:dyDescent="0.3">
      <c r="B4311" s="1"/>
      <c r="C4311" s="1"/>
      <c r="I4311" s="3"/>
      <c r="J4311" s="3"/>
      <c r="K4311" s="3"/>
      <c r="L4311" s="3"/>
    </row>
    <row r="4312" spans="2:12" x14ac:dyDescent="0.3">
      <c r="B4312" s="1"/>
      <c r="C4312" s="1"/>
      <c r="I4312" s="3"/>
      <c r="J4312" s="3"/>
      <c r="K4312" s="3"/>
      <c r="L4312" s="3"/>
    </row>
    <row r="4313" spans="2:12" x14ac:dyDescent="0.3">
      <c r="B4313" s="1"/>
      <c r="C4313" s="1"/>
      <c r="I4313" s="3"/>
      <c r="J4313" s="3"/>
      <c r="K4313" s="3"/>
      <c r="L4313" s="3"/>
    </row>
    <row r="4314" spans="2:12" x14ac:dyDescent="0.3">
      <c r="B4314" s="1"/>
      <c r="C4314" s="1"/>
      <c r="I4314" s="3"/>
      <c r="J4314" s="3"/>
      <c r="K4314" s="3"/>
      <c r="L4314" s="3"/>
    </row>
    <row r="4315" spans="2:12" x14ac:dyDescent="0.3">
      <c r="B4315" s="1"/>
      <c r="C4315" s="1"/>
      <c r="I4315" s="3"/>
      <c r="J4315" s="3"/>
      <c r="K4315" s="3"/>
      <c r="L4315" s="3"/>
    </row>
    <row r="4316" spans="2:12" x14ac:dyDescent="0.3">
      <c r="B4316" s="1"/>
      <c r="C4316" s="1"/>
      <c r="I4316" s="3"/>
      <c r="J4316" s="3"/>
      <c r="K4316" s="3"/>
      <c r="L4316" s="3"/>
    </row>
    <row r="4317" spans="2:12" x14ac:dyDescent="0.3">
      <c r="B4317" s="1"/>
      <c r="C4317" s="1"/>
      <c r="I4317" s="3"/>
      <c r="J4317" s="3"/>
      <c r="K4317" s="3"/>
      <c r="L4317" s="3"/>
    </row>
    <row r="4318" spans="2:12" x14ac:dyDescent="0.3">
      <c r="B4318" s="1"/>
      <c r="C4318" s="1"/>
      <c r="I4318" s="3"/>
      <c r="J4318" s="3"/>
      <c r="K4318" s="3"/>
      <c r="L4318" s="3"/>
    </row>
    <row r="4319" spans="2:12" x14ac:dyDescent="0.3">
      <c r="B4319" s="1"/>
      <c r="C4319" s="1"/>
      <c r="I4319" s="3"/>
      <c r="J4319" s="3"/>
      <c r="K4319" s="3"/>
      <c r="L4319" s="3"/>
    </row>
    <row r="4320" spans="2:12" x14ac:dyDescent="0.3">
      <c r="B4320" s="1"/>
      <c r="C4320" s="1"/>
      <c r="I4320" s="3"/>
      <c r="J4320" s="3"/>
      <c r="K4320" s="3"/>
      <c r="L4320" s="3"/>
    </row>
    <row r="4321" spans="2:12" x14ac:dyDescent="0.3">
      <c r="B4321" s="1"/>
      <c r="C4321" s="1"/>
      <c r="I4321" s="3"/>
      <c r="J4321" s="3"/>
      <c r="K4321" s="3"/>
      <c r="L4321" s="3"/>
    </row>
    <row r="4322" spans="2:12" x14ac:dyDescent="0.3">
      <c r="B4322" s="1"/>
      <c r="C4322" s="1"/>
      <c r="I4322" s="3"/>
      <c r="J4322" s="3"/>
      <c r="K4322" s="3"/>
      <c r="L4322" s="3"/>
    </row>
    <row r="4323" spans="2:12" x14ac:dyDescent="0.3">
      <c r="B4323" s="1"/>
      <c r="C4323" s="1"/>
      <c r="I4323" s="3"/>
      <c r="J4323" s="3"/>
      <c r="K4323" s="3"/>
      <c r="L4323" s="3"/>
    </row>
    <row r="4324" spans="2:12" x14ac:dyDescent="0.3">
      <c r="B4324" s="1"/>
      <c r="C4324" s="1"/>
      <c r="I4324" s="3"/>
      <c r="J4324" s="3"/>
      <c r="K4324" s="3"/>
      <c r="L4324" s="3"/>
    </row>
    <row r="4325" spans="2:12" x14ac:dyDescent="0.3">
      <c r="B4325" s="1"/>
      <c r="C4325" s="1"/>
      <c r="I4325" s="3"/>
      <c r="J4325" s="3"/>
      <c r="K4325" s="3"/>
      <c r="L4325" s="3"/>
    </row>
    <row r="4326" spans="2:12" x14ac:dyDescent="0.3">
      <c r="B4326" s="1"/>
      <c r="C4326" s="1"/>
      <c r="I4326" s="3"/>
      <c r="J4326" s="3"/>
      <c r="K4326" s="3"/>
      <c r="L4326" s="3"/>
    </row>
    <row r="4327" spans="2:12" x14ac:dyDescent="0.3">
      <c r="B4327" s="1"/>
      <c r="C4327" s="1"/>
      <c r="I4327" s="3"/>
      <c r="J4327" s="3"/>
      <c r="K4327" s="3"/>
      <c r="L4327" s="3"/>
    </row>
    <row r="4328" spans="2:12" x14ac:dyDescent="0.3">
      <c r="B4328" s="1"/>
      <c r="C4328" s="1"/>
      <c r="I4328" s="3"/>
      <c r="J4328" s="3"/>
      <c r="K4328" s="3"/>
      <c r="L4328" s="3"/>
    </row>
    <row r="4329" spans="2:12" x14ac:dyDescent="0.3">
      <c r="B4329" s="1"/>
      <c r="C4329" s="1"/>
      <c r="I4329" s="3"/>
      <c r="J4329" s="3"/>
      <c r="K4329" s="3"/>
      <c r="L4329" s="3"/>
    </row>
    <row r="4330" spans="2:12" x14ac:dyDescent="0.3">
      <c r="B4330" s="1"/>
      <c r="C4330" s="1"/>
      <c r="I4330" s="3"/>
      <c r="J4330" s="3"/>
      <c r="K4330" s="3"/>
      <c r="L4330" s="3"/>
    </row>
    <row r="4331" spans="2:12" x14ac:dyDescent="0.3">
      <c r="B4331" s="1"/>
      <c r="C4331" s="1"/>
      <c r="I4331" s="3"/>
      <c r="J4331" s="3"/>
      <c r="K4331" s="3"/>
      <c r="L4331" s="3"/>
    </row>
    <row r="4332" spans="2:12" x14ac:dyDescent="0.3">
      <c r="B4332" s="1"/>
      <c r="C4332" s="1"/>
      <c r="I4332" s="3"/>
      <c r="J4332" s="3"/>
      <c r="K4332" s="3"/>
      <c r="L4332" s="3"/>
    </row>
    <row r="4333" spans="2:12" x14ac:dyDescent="0.3">
      <c r="B4333" s="1"/>
      <c r="C4333" s="1"/>
      <c r="I4333" s="3"/>
      <c r="J4333" s="3"/>
      <c r="K4333" s="3"/>
      <c r="L4333" s="3"/>
    </row>
    <row r="4334" spans="2:12" x14ac:dyDescent="0.3">
      <c r="B4334" s="1"/>
      <c r="C4334" s="1"/>
      <c r="I4334" s="3"/>
      <c r="J4334" s="3"/>
      <c r="K4334" s="3"/>
      <c r="L4334" s="3"/>
    </row>
    <row r="4335" spans="2:12" x14ac:dyDescent="0.3">
      <c r="B4335" s="1"/>
      <c r="C4335" s="1"/>
      <c r="I4335" s="3"/>
      <c r="J4335" s="3"/>
      <c r="K4335" s="3"/>
      <c r="L4335" s="3"/>
    </row>
    <row r="4336" spans="2:12" x14ac:dyDescent="0.3">
      <c r="B4336" s="1"/>
      <c r="C4336" s="1"/>
      <c r="I4336" s="3"/>
      <c r="J4336" s="3"/>
      <c r="K4336" s="3"/>
      <c r="L4336" s="3"/>
    </row>
    <row r="4337" spans="2:12" x14ac:dyDescent="0.3">
      <c r="B4337" s="1"/>
      <c r="C4337" s="1"/>
      <c r="I4337" s="3"/>
      <c r="J4337" s="3"/>
      <c r="K4337" s="3"/>
      <c r="L4337" s="3"/>
    </row>
    <row r="4338" spans="2:12" x14ac:dyDescent="0.3">
      <c r="B4338" s="1"/>
      <c r="C4338" s="1"/>
      <c r="I4338" s="3"/>
      <c r="J4338" s="3"/>
      <c r="K4338" s="3"/>
      <c r="L4338" s="3"/>
    </row>
    <row r="4339" spans="2:12" x14ac:dyDescent="0.3">
      <c r="B4339" s="1"/>
      <c r="C4339" s="1"/>
      <c r="I4339" s="3"/>
      <c r="J4339" s="3"/>
      <c r="K4339" s="3"/>
      <c r="L4339" s="3"/>
    </row>
    <row r="4340" spans="2:12" x14ac:dyDescent="0.3">
      <c r="B4340" s="1"/>
      <c r="C4340" s="1"/>
      <c r="I4340" s="3"/>
      <c r="J4340" s="3"/>
      <c r="K4340" s="3"/>
      <c r="L4340" s="3"/>
    </row>
    <row r="4341" spans="2:12" x14ac:dyDescent="0.3">
      <c r="B4341" s="1"/>
      <c r="C4341" s="1"/>
      <c r="I4341" s="3"/>
      <c r="J4341" s="3"/>
      <c r="K4341" s="3"/>
      <c r="L4341" s="3"/>
    </row>
    <row r="4342" spans="2:12" x14ac:dyDescent="0.3">
      <c r="B4342" s="1"/>
      <c r="C4342" s="1"/>
      <c r="I4342" s="3"/>
      <c r="J4342" s="3"/>
      <c r="K4342" s="3"/>
      <c r="L4342" s="3"/>
    </row>
    <row r="4343" spans="2:12" x14ac:dyDescent="0.3">
      <c r="B4343" s="1"/>
      <c r="C4343" s="1"/>
      <c r="I4343" s="3"/>
      <c r="J4343" s="3"/>
      <c r="K4343" s="3"/>
      <c r="L4343" s="3"/>
    </row>
    <row r="4344" spans="2:12" x14ac:dyDescent="0.3">
      <c r="B4344" s="1"/>
      <c r="C4344" s="1"/>
      <c r="I4344" s="3"/>
      <c r="J4344" s="3"/>
      <c r="K4344" s="3"/>
      <c r="L4344" s="3"/>
    </row>
    <row r="4345" spans="2:12" x14ac:dyDescent="0.3">
      <c r="B4345" s="1"/>
      <c r="C4345" s="1"/>
      <c r="I4345" s="3"/>
      <c r="J4345" s="3"/>
      <c r="K4345" s="3"/>
      <c r="L4345" s="3"/>
    </row>
    <row r="4346" spans="2:12" x14ac:dyDescent="0.3">
      <c r="B4346" s="1"/>
      <c r="C4346" s="1"/>
      <c r="I4346" s="3"/>
      <c r="J4346" s="3"/>
      <c r="K4346" s="3"/>
      <c r="L4346" s="3"/>
    </row>
    <row r="4347" spans="2:12" x14ac:dyDescent="0.3">
      <c r="B4347" s="1"/>
      <c r="C4347" s="1"/>
      <c r="I4347" s="3"/>
      <c r="J4347" s="3"/>
      <c r="K4347" s="3"/>
      <c r="L4347" s="3"/>
    </row>
    <row r="4348" spans="2:12" x14ac:dyDescent="0.3">
      <c r="B4348" s="1"/>
      <c r="C4348" s="1"/>
      <c r="I4348" s="3"/>
      <c r="J4348" s="3"/>
      <c r="K4348" s="3"/>
      <c r="L4348" s="3"/>
    </row>
    <row r="4349" spans="2:12" x14ac:dyDescent="0.3">
      <c r="B4349" s="1"/>
      <c r="C4349" s="1"/>
      <c r="I4349" s="3"/>
      <c r="J4349" s="3"/>
      <c r="K4349" s="3"/>
      <c r="L4349" s="3"/>
    </row>
    <row r="4350" spans="2:12" x14ac:dyDescent="0.3">
      <c r="B4350" s="1"/>
      <c r="C4350" s="1"/>
      <c r="I4350" s="3"/>
      <c r="J4350" s="3"/>
      <c r="K4350" s="3"/>
      <c r="L4350" s="3"/>
    </row>
    <row r="4351" spans="2:12" x14ac:dyDescent="0.3">
      <c r="B4351" s="1"/>
      <c r="C4351" s="1"/>
      <c r="I4351" s="3"/>
      <c r="J4351" s="3"/>
      <c r="K4351" s="3"/>
      <c r="L4351" s="3"/>
    </row>
    <row r="4352" spans="2:12" x14ac:dyDescent="0.3">
      <c r="B4352" s="1"/>
      <c r="C4352" s="1"/>
      <c r="I4352" s="3"/>
      <c r="J4352" s="3"/>
      <c r="K4352" s="3"/>
      <c r="L4352" s="3"/>
    </row>
    <row r="4353" spans="2:12" x14ac:dyDescent="0.3">
      <c r="B4353" s="1"/>
      <c r="C4353" s="1"/>
      <c r="I4353" s="3"/>
      <c r="J4353" s="3"/>
      <c r="K4353" s="3"/>
      <c r="L4353" s="3"/>
    </row>
    <row r="4354" spans="2:12" x14ac:dyDescent="0.3">
      <c r="B4354" s="1"/>
      <c r="C4354" s="1"/>
      <c r="I4354" s="3"/>
      <c r="J4354" s="3"/>
      <c r="K4354" s="3"/>
      <c r="L4354" s="3"/>
    </row>
    <row r="4355" spans="2:12" x14ac:dyDescent="0.3">
      <c r="B4355" s="1"/>
      <c r="C4355" s="1"/>
      <c r="I4355" s="3"/>
      <c r="J4355" s="3"/>
      <c r="K4355" s="3"/>
      <c r="L4355" s="3"/>
    </row>
    <row r="4356" spans="2:12" x14ac:dyDescent="0.3">
      <c r="B4356" s="1"/>
      <c r="C4356" s="1"/>
      <c r="I4356" s="3"/>
      <c r="J4356" s="3"/>
      <c r="K4356" s="3"/>
      <c r="L4356" s="3"/>
    </row>
    <row r="4357" spans="2:12" x14ac:dyDescent="0.3">
      <c r="B4357" s="1"/>
      <c r="C4357" s="1"/>
      <c r="I4357" s="3"/>
      <c r="J4357" s="3"/>
      <c r="K4357" s="3"/>
      <c r="L4357" s="3"/>
    </row>
    <row r="4358" spans="2:12" x14ac:dyDescent="0.3">
      <c r="B4358" s="1"/>
      <c r="C4358" s="1"/>
      <c r="I4358" s="3"/>
      <c r="J4358" s="3"/>
      <c r="K4358" s="3"/>
      <c r="L4358" s="3"/>
    </row>
    <row r="4359" spans="2:12" x14ac:dyDescent="0.3">
      <c r="B4359" s="1"/>
      <c r="C4359" s="1"/>
      <c r="I4359" s="3"/>
      <c r="J4359" s="3"/>
      <c r="K4359" s="3"/>
      <c r="L4359" s="3"/>
    </row>
    <row r="4360" spans="2:12" x14ac:dyDescent="0.3">
      <c r="B4360" s="1"/>
      <c r="C4360" s="1"/>
      <c r="I4360" s="3"/>
      <c r="J4360" s="3"/>
      <c r="K4360" s="3"/>
      <c r="L4360" s="3"/>
    </row>
    <row r="4361" spans="2:12" x14ac:dyDescent="0.3">
      <c r="B4361" s="1"/>
      <c r="C4361" s="1"/>
      <c r="I4361" s="3"/>
      <c r="J4361" s="3"/>
      <c r="K4361" s="3"/>
      <c r="L4361" s="3"/>
    </row>
    <row r="4362" spans="2:12" x14ac:dyDescent="0.3">
      <c r="B4362" s="1"/>
      <c r="C4362" s="1"/>
      <c r="I4362" s="3"/>
      <c r="J4362" s="3"/>
      <c r="K4362" s="3"/>
      <c r="L4362" s="3"/>
    </row>
    <row r="4363" spans="2:12" x14ac:dyDescent="0.3">
      <c r="B4363" s="1"/>
      <c r="C4363" s="1"/>
      <c r="I4363" s="3"/>
      <c r="J4363" s="3"/>
      <c r="K4363" s="3"/>
      <c r="L4363" s="3"/>
    </row>
    <row r="4364" spans="2:12" x14ac:dyDescent="0.3">
      <c r="B4364" s="1"/>
      <c r="C4364" s="1"/>
      <c r="I4364" s="3"/>
      <c r="J4364" s="3"/>
      <c r="K4364" s="3"/>
      <c r="L4364" s="3"/>
    </row>
    <row r="4365" spans="2:12" x14ac:dyDescent="0.3">
      <c r="B4365" s="1"/>
      <c r="C4365" s="1"/>
      <c r="I4365" s="3"/>
      <c r="J4365" s="3"/>
      <c r="K4365" s="3"/>
      <c r="L4365" s="3"/>
    </row>
    <row r="4366" spans="2:12" x14ac:dyDescent="0.3">
      <c r="B4366" s="1"/>
      <c r="C4366" s="1"/>
      <c r="I4366" s="3"/>
      <c r="J4366" s="3"/>
      <c r="K4366" s="3"/>
      <c r="L4366" s="3"/>
    </row>
    <row r="4367" spans="2:12" x14ac:dyDescent="0.3">
      <c r="B4367" s="1"/>
      <c r="C4367" s="1"/>
      <c r="I4367" s="3"/>
      <c r="J4367" s="3"/>
      <c r="K4367" s="3"/>
      <c r="L4367" s="3"/>
    </row>
    <row r="4368" spans="2:12" x14ac:dyDescent="0.3">
      <c r="B4368" s="1"/>
      <c r="C4368" s="1"/>
      <c r="I4368" s="3"/>
      <c r="J4368" s="3"/>
      <c r="K4368" s="3"/>
      <c r="L4368" s="3"/>
    </row>
    <row r="4369" spans="2:12" x14ac:dyDescent="0.3">
      <c r="B4369" s="1"/>
      <c r="C4369" s="1"/>
      <c r="I4369" s="3"/>
      <c r="J4369" s="3"/>
      <c r="K4369" s="3"/>
      <c r="L4369" s="3"/>
    </row>
    <row r="4370" spans="2:12" x14ac:dyDescent="0.3">
      <c r="B4370" s="1"/>
      <c r="C4370" s="1"/>
      <c r="I4370" s="3"/>
      <c r="J4370" s="3"/>
      <c r="K4370" s="3"/>
      <c r="L4370" s="3"/>
    </row>
    <row r="4371" spans="2:12" x14ac:dyDescent="0.3">
      <c r="B4371" s="1"/>
      <c r="C4371" s="1"/>
      <c r="I4371" s="3"/>
      <c r="J4371" s="3"/>
      <c r="K4371" s="3"/>
      <c r="L4371" s="3"/>
    </row>
    <row r="4372" spans="2:12" x14ac:dyDescent="0.3">
      <c r="B4372" s="1"/>
      <c r="C4372" s="1"/>
      <c r="I4372" s="3"/>
      <c r="J4372" s="3"/>
      <c r="K4372" s="3"/>
      <c r="L4372" s="3"/>
    </row>
    <row r="4373" spans="2:12" x14ac:dyDescent="0.3">
      <c r="B4373" s="1"/>
      <c r="C4373" s="1"/>
      <c r="I4373" s="3"/>
      <c r="J4373" s="3"/>
      <c r="K4373" s="3"/>
      <c r="L4373" s="3"/>
    </row>
    <row r="4374" spans="2:12" x14ac:dyDescent="0.3">
      <c r="B4374" s="1"/>
      <c r="C4374" s="1"/>
      <c r="I4374" s="3"/>
      <c r="J4374" s="3"/>
      <c r="K4374" s="3"/>
      <c r="L4374" s="3"/>
    </row>
    <row r="4375" spans="2:12" x14ac:dyDescent="0.3">
      <c r="B4375" s="1"/>
      <c r="C4375" s="1"/>
      <c r="I4375" s="3"/>
      <c r="J4375" s="3"/>
      <c r="K4375" s="3"/>
      <c r="L4375" s="3"/>
    </row>
    <row r="4376" spans="2:12" x14ac:dyDescent="0.3">
      <c r="B4376" s="1"/>
      <c r="C4376" s="1"/>
      <c r="I4376" s="3"/>
      <c r="J4376" s="3"/>
      <c r="K4376" s="3"/>
      <c r="L4376" s="3"/>
    </row>
    <row r="4377" spans="2:12" x14ac:dyDescent="0.3">
      <c r="B4377" s="1"/>
      <c r="C4377" s="1"/>
      <c r="I4377" s="3"/>
      <c r="J4377" s="3"/>
      <c r="K4377" s="3"/>
      <c r="L4377" s="3"/>
    </row>
    <row r="4378" spans="2:12" x14ac:dyDescent="0.3">
      <c r="B4378" s="1"/>
      <c r="C4378" s="1"/>
      <c r="I4378" s="3"/>
      <c r="J4378" s="3"/>
      <c r="K4378" s="3"/>
      <c r="L4378" s="3"/>
    </row>
    <row r="4379" spans="2:12" x14ac:dyDescent="0.3">
      <c r="B4379" s="1"/>
      <c r="C4379" s="1"/>
      <c r="I4379" s="3"/>
      <c r="J4379" s="3"/>
      <c r="K4379" s="3"/>
      <c r="L4379" s="3"/>
    </row>
    <row r="4380" spans="2:12" x14ac:dyDescent="0.3">
      <c r="B4380" s="1"/>
      <c r="C4380" s="1"/>
      <c r="I4380" s="3"/>
      <c r="J4380" s="3"/>
      <c r="K4380" s="3"/>
      <c r="L4380" s="3"/>
    </row>
    <row r="4381" spans="2:12" x14ac:dyDescent="0.3">
      <c r="B4381" s="1"/>
      <c r="C4381" s="1"/>
      <c r="I4381" s="3"/>
      <c r="J4381" s="3"/>
      <c r="K4381" s="3"/>
      <c r="L4381" s="3"/>
    </row>
    <row r="4382" spans="2:12" x14ac:dyDescent="0.3">
      <c r="B4382" s="1"/>
      <c r="C4382" s="1"/>
      <c r="I4382" s="3"/>
      <c r="J4382" s="3"/>
      <c r="K4382" s="3"/>
      <c r="L4382" s="3"/>
    </row>
    <row r="4383" spans="2:12" x14ac:dyDescent="0.3">
      <c r="B4383" s="1"/>
      <c r="C4383" s="1"/>
      <c r="I4383" s="3"/>
      <c r="J4383" s="3"/>
      <c r="K4383" s="3"/>
      <c r="L4383" s="3"/>
    </row>
    <row r="4384" spans="2:12" x14ac:dyDescent="0.3">
      <c r="B4384" s="1"/>
      <c r="C4384" s="1"/>
      <c r="I4384" s="3"/>
      <c r="J4384" s="3"/>
      <c r="K4384" s="3"/>
      <c r="L4384" s="3"/>
    </row>
    <row r="4385" spans="2:12" x14ac:dyDescent="0.3">
      <c r="B4385" s="1"/>
      <c r="C4385" s="1"/>
      <c r="I4385" s="3"/>
      <c r="J4385" s="3"/>
      <c r="K4385" s="3"/>
      <c r="L4385" s="3"/>
    </row>
    <row r="4386" spans="2:12" x14ac:dyDescent="0.3">
      <c r="B4386" s="1"/>
      <c r="C4386" s="1"/>
      <c r="I4386" s="3"/>
      <c r="J4386" s="3"/>
      <c r="K4386" s="3"/>
      <c r="L4386" s="3"/>
    </row>
    <row r="4387" spans="2:12" x14ac:dyDescent="0.3">
      <c r="B4387" s="1"/>
      <c r="C4387" s="1"/>
      <c r="I4387" s="3"/>
      <c r="J4387" s="3"/>
      <c r="K4387" s="3"/>
      <c r="L4387" s="3"/>
    </row>
    <row r="4388" spans="2:12" x14ac:dyDescent="0.3">
      <c r="B4388" s="1"/>
      <c r="C4388" s="1"/>
      <c r="I4388" s="3"/>
      <c r="J4388" s="3"/>
      <c r="K4388" s="3"/>
      <c r="L4388" s="3"/>
    </row>
    <row r="4389" spans="2:12" x14ac:dyDescent="0.3">
      <c r="B4389" s="1"/>
      <c r="C4389" s="1"/>
      <c r="I4389" s="3"/>
      <c r="J4389" s="3"/>
      <c r="K4389" s="3"/>
      <c r="L4389" s="3"/>
    </row>
    <row r="4390" spans="2:12" x14ac:dyDescent="0.3">
      <c r="B4390" s="1"/>
      <c r="C4390" s="1"/>
      <c r="I4390" s="3"/>
      <c r="J4390" s="3"/>
      <c r="K4390" s="3"/>
      <c r="L4390" s="3"/>
    </row>
    <row r="4391" spans="2:12" x14ac:dyDescent="0.3">
      <c r="B4391" s="1"/>
      <c r="C4391" s="1"/>
      <c r="I4391" s="3"/>
      <c r="J4391" s="3"/>
      <c r="K4391" s="3"/>
      <c r="L4391" s="3"/>
    </row>
    <row r="4392" spans="2:12" x14ac:dyDescent="0.3">
      <c r="B4392" s="1"/>
      <c r="C4392" s="1"/>
      <c r="I4392" s="3"/>
      <c r="J4392" s="3"/>
      <c r="K4392" s="3"/>
      <c r="L4392" s="3"/>
    </row>
    <row r="4393" spans="2:12" x14ac:dyDescent="0.3">
      <c r="B4393" s="1"/>
      <c r="C4393" s="1"/>
      <c r="I4393" s="3"/>
      <c r="J4393" s="3"/>
      <c r="K4393" s="3"/>
      <c r="L4393" s="3"/>
    </row>
    <row r="4394" spans="2:12" x14ac:dyDescent="0.3">
      <c r="B4394" s="1"/>
      <c r="C4394" s="1"/>
      <c r="I4394" s="3"/>
      <c r="J4394" s="3"/>
      <c r="K4394" s="3"/>
      <c r="L4394" s="3"/>
    </row>
    <row r="4395" spans="2:12" x14ac:dyDescent="0.3">
      <c r="B4395" s="1"/>
      <c r="C4395" s="1"/>
      <c r="I4395" s="3"/>
      <c r="J4395" s="3"/>
      <c r="K4395" s="3"/>
      <c r="L4395" s="3"/>
    </row>
    <row r="4396" spans="2:12" x14ac:dyDescent="0.3">
      <c r="B4396" s="1"/>
      <c r="C4396" s="1"/>
      <c r="I4396" s="3"/>
      <c r="J4396" s="3"/>
      <c r="K4396" s="3"/>
      <c r="L4396" s="3"/>
    </row>
    <row r="4397" spans="2:12" x14ac:dyDescent="0.3">
      <c r="B4397" s="1"/>
      <c r="C4397" s="1"/>
      <c r="I4397" s="3"/>
      <c r="J4397" s="3"/>
      <c r="K4397" s="3"/>
      <c r="L4397" s="3"/>
    </row>
    <row r="4398" spans="2:12" x14ac:dyDescent="0.3">
      <c r="B4398" s="1"/>
      <c r="C4398" s="1"/>
      <c r="I4398" s="3"/>
      <c r="J4398" s="3"/>
      <c r="K4398" s="3"/>
      <c r="L4398" s="3"/>
    </row>
    <row r="4399" spans="2:12" x14ac:dyDescent="0.3">
      <c r="B4399" s="1"/>
      <c r="C4399" s="1"/>
      <c r="I4399" s="3"/>
      <c r="J4399" s="3"/>
      <c r="K4399" s="3"/>
      <c r="L4399" s="3"/>
    </row>
    <row r="4400" spans="2:12" x14ac:dyDescent="0.3">
      <c r="B4400" s="1"/>
      <c r="C4400" s="1"/>
      <c r="I4400" s="3"/>
      <c r="J4400" s="3"/>
      <c r="K4400" s="3"/>
      <c r="L4400" s="3"/>
    </row>
    <row r="4401" spans="2:12" x14ac:dyDescent="0.3">
      <c r="B4401" s="1"/>
      <c r="C4401" s="1"/>
      <c r="I4401" s="3"/>
      <c r="J4401" s="3"/>
      <c r="K4401" s="3"/>
      <c r="L4401" s="3"/>
    </row>
    <row r="4402" spans="2:12" x14ac:dyDescent="0.3">
      <c r="B4402" s="1"/>
      <c r="C4402" s="1"/>
      <c r="I4402" s="3"/>
      <c r="J4402" s="3"/>
      <c r="K4402" s="3"/>
      <c r="L4402" s="3"/>
    </row>
    <row r="4403" spans="2:12" x14ac:dyDescent="0.3">
      <c r="B4403" s="1"/>
      <c r="C4403" s="1"/>
      <c r="I4403" s="3"/>
      <c r="J4403" s="3"/>
      <c r="K4403" s="3"/>
      <c r="L4403" s="3"/>
    </row>
    <row r="4404" spans="2:12" x14ac:dyDescent="0.3">
      <c r="B4404" s="1"/>
      <c r="C4404" s="1"/>
      <c r="I4404" s="3"/>
      <c r="J4404" s="3"/>
      <c r="K4404" s="3"/>
      <c r="L4404" s="3"/>
    </row>
    <row r="4405" spans="2:12" x14ac:dyDescent="0.3">
      <c r="B4405" s="1"/>
      <c r="C4405" s="1"/>
      <c r="I4405" s="3"/>
      <c r="J4405" s="3"/>
      <c r="K4405" s="3"/>
      <c r="L4405" s="3"/>
    </row>
    <row r="4406" spans="2:12" x14ac:dyDescent="0.3">
      <c r="B4406" s="1"/>
      <c r="C4406" s="1"/>
      <c r="I4406" s="3"/>
      <c r="J4406" s="3"/>
      <c r="K4406" s="3"/>
      <c r="L4406" s="3"/>
    </row>
    <row r="4407" spans="2:12" x14ac:dyDescent="0.3">
      <c r="B4407" s="1"/>
      <c r="C4407" s="1"/>
      <c r="I4407" s="3"/>
      <c r="J4407" s="3"/>
      <c r="K4407" s="3"/>
      <c r="L4407" s="3"/>
    </row>
    <row r="4408" spans="2:12" x14ac:dyDescent="0.3">
      <c r="B4408" s="1"/>
      <c r="C4408" s="1"/>
      <c r="I4408" s="3"/>
      <c r="J4408" s="3"/>
      <c r="K4408" s="3"/>
      <c r="L4408" s="3"/>
    </row>
    <row r="4409" spans="2:12" x14ac:dyDescent="0.3">
      <c r="B4409" s="1"/>
      <c r="C4409" s="1"/>
      <c r="I4409" s="3"/>
      <c r="J4409" s="3"/>
      <c r="K4409" s="3"/>
      <c r="L4409" s="3"/>
    </row>
    <row r="4410" spans="2:12" x14ac:dyDescent="0.3">
      <c r="B4410" s="1"/>
      <c r="C4410" s="1"/>
      <c r="I4410" s="3"/>
      <c r="J4410" s="3"/>
      <c r="K4410" s="3"/>
      <c r="L4410" s="3"/>
    </row>
    <row r="4411" spans="2:12" x14ac:dyDescent="0.3">
      <c r="B4411" s="1"/>
      <c r="C4411" s="1"/>
      <c r="I4411" s="3"/>
      <c r="J4411" s="3"/>
      <c r="K4411" s="3"/>
      <c r="L4411" s="3"/>
    </row>
    <row r="4412" spans="2:12" x14ac:dyDescent="0.3">
      <c r="B4412" s="1"/>
      <c r="C4412" s="1"/>
      <c r="I4412" s="3"/>
      <c r="J4412" s="3"/>
      <c r="K4412" s="3"/>
      <c r="L4412" s="3"/>
    </row>
    <row r="4413" spans="2:12" x14ac:dyDescent="0.3">
      <c r="B4413" s="1"/>
      <c r="C4413" s="1"/>
      <c r="I4413" s="3"/>
      <c r="J4413" s="3"/>
      <c r="K4413" s="3"/>
      <c r="L4413" s="3"/>
    </row>
    <row r="4414" spans="2:12" x14ac:dyDescent="0.3">
      <c r="B4414" s="1"/>
      <c r="C4414" s="1"/>
      <c r="I4414" s="3"/>
      <c r="J4414" s="3"/>
      <c r="K4414" s="3"/>
      <c r="L4414" s="3"/>
    </row>
    <row r="4415" spans="2:12" x14ac:dyDescent="0.3">
      <c r="B4415" s="1"/>
      <c r="C4415" s="1"/>
      <c r="I4415" s="3"/>
      <c r="J4415" s="3"/>
      <c r="K4415" s="3"/>
      <c r="L4415" s="3"/>
    </row>
    <row r="4416" spans="2:12" x14ac:dyDescent="0.3">
      <c r="B4416" s="1"/>
      <c r="C4416" s="1"/>
      <c r="I4416" s="3"/>
      <c r="J4416" s="3"/>
      <c r="K4416" s="3"/>
      <c r="L4416" s="3"/>
    </row>
    <row r="4417" spans="2:12" x14ac:dyDescent="0.3">
      <c r="B4417" s="1"/>
      <c r="C4417" s="1"/>
      <c r="I4417" s="3"/>
      <c r="J4417" s="3"/>
      <c r="K4417" s="3"/>
      <c r="L4417" s="3"/>
    </row>
    <row r="4418" spans="2:12" x14ac:dyDescent="0.3">
      <c r="B4418" s="1"/>
      <c r="C4418" s="1"/>
      <c r="I4418" s="3"/>
      <c r="J4418" s="3"/>
      <c r="K4418" s="3"/>
      <c r="L4418" s="3"/>
    </row>
    <row r="4419" spans="2:12" x14ac:dyDescent="0.3">
      <c r="B4419" s="1"/>
      <c r="C4419" s="1"/>
      <c r="I4419" s="3"/>
      <c r="J4419" s="3"/>
      <c r="K4419" s="3"/>
      <c r="L4419" s="3"/>
    </row>
    <row r="4420" spans="2:12" x14ac:dyDescent="0.3">
      <c r="B4420" s="1"/>
      <c r="C4420" s="1"/>
      <c r="I4420" s="3"/>
      <c r="J4420" s="3"/>
      <c r="K4420" s="3"/>
      <c r="L4420" s="3"/>
    </row>
    <row r="4421" spans="2:12" x14ac:dyDescent="0.3">
      <c r="B4421" s="1"/>
      <c r="C4421" s="1"/>
      <c r="I4421" s="3"/>
      <c r="J4421" s="3"/>
      <c r="K4421" s="3"/>
      <c r="L4421" s="3"/>
    </row>
    <row r="4422" spans="2:12" x14ac:dyDescent="0.3">
      <c r="B4422" s="1"/>
      <c r="C4422" s="1"/>
      <c r="I4422" s="3"/>
      <c r="J4422" s="3"/>
      <c r="K4422" s="3"/>
      <c r="L4422" s="3"/>
    </row>
    <row r="4423" spans="2:12" x14ac:dyDescent="0.3">
      <c r="B4423" s="1"/>
      <c r="C4423" s="1"/>
      <c r="I4423" s="3"/>
      <c r="J4423" s="3"/>
      <c r="K4423" s="3"/>
      <c r="L4423" s="3"/>
    </row>
    <row r="4424" spans="2:12" x14ac:dyDescent="0.3">
      <c r="B4424" s="1"/>
      <c r="C4424" s="1"/>
      <c r="I4424" s="3"/>
      <c r="J4424" s="3"/>
      <c r="K4424" s="3"/>
      <c r="L4424" s="3"/>
    </row>
    <row r="4425" spans="2:12" x14ac:dyDescent="0.3">
      <c r="B4425" s="1"/>
      <c r="C4425" s="1"/>
      <c r="I4425" s="3"/>
      <c r="J4425" s="3"/>
      <c r="K4425" s="3"/>
      <c r="L4425" s="3"/>
    </row>
    <row r="4426" spans="2:12" x14ac:dyDescent="0.3">
      <c r="B4426" s="1"/>
      <c r="C4426" s="1"/>
      <c r="I4426" s="3"/>
      <c r="J4426" s="3"/>
      <c r="K4426" s="3"/>
      <c r="L4426" s="3"/>
    </row>
    <row r="4427" spans="2:12" x14ac:dyDescent="0.3">
      <c r="B4427" s="1"/>
      <c r="C4427" s="1"/>
      <c r="I4427" s="3"/>
      <c r="J4427" s="3"/>
      <c r="K4427" s="3"/>
      <c r="L4427" s="3"/>
    </row>
    <row r="4428" spans="2:12" x14ac:dyDescent="0.3">
      <c r="B4428" s="1"/>
      <c r="C4428" s="1"/>
      <c r="I4428" s="3"/>
      <c r="J4428" s="3"/>
      <c r="K4428" s="3"/>
      <c r="L4428" s="3"/>
    </row>
    <row r="4429" spans="2:12" x14ac:dyDescent="0.3">
      <c r="B4429" s="1"/>
      <c r="C4429" s="1"/>
      <c r="I4429" s="3"/>
      <c r="J4429" s="3"/>
      <c r="K4429" s="3"/>
      <c r="L4429" s="3"/>
    </row>
    <row r="4430" spans="2:12" x14ac:dyDescent="0.3">
      <c r="B4430" s="1"/>
      <c r="C4430" s="1"/>
      <c r="I4430" s="3"/>
      <c r="J4430" s="3"/>
      <c r="K4430" s="3"/>
      <c r="L4430" s="3"/>
    </row>
    <row r="4431" spans="2:12" x14ac:dyDescent="0.3">
      <c r="B4431" s="1"/>
      <c r="C4431" s="1"/>
      <c r="I4431" s="3"/>
      <c r="J4431" s="3"/>
      <c r="K4431" s="3"/>
      <c r="L4431" s="3"/>
    </row>
    <row r="4432" spans="2:12" x14ac:dyDescent="0.3">
      <c r="B4432" s="1"/>
      <c r="C4432" s="1"/>
      <c r="I4432" s="3"/>
      <c r="J4432" s="3"/>
      <c r="K4432" s="3"/>
      <c r="L4432" s="3"/>
    </row>
    <row r="4433" spans="2:12" x14ac:dyDescent="0.3">
      <c r="B4433" s="1"/>
      <c r="C4433" s="1"/>
      <c r="I4433" s="3"/>
      <c r="J4433" s="3"/>
      <c r="K4433" s="3"/>
      <c r="L4433" s="3"/>
    </row>
    <row r="4434" spans="2:12" x14ac:dyDescent="0.3">
      <c r="B4434" s="1"/>
      <c r="C4434" s="1"/>
      <c r="I4434" s="3"/>
      <c r="J4434" s="3"/>
      <c r="K4434" s="3"/>
      <c r="L4434" s="3"/>
    </row>
    <row r="4435" spans="2:12" x14ac:dyDescent="0.3">
      <c r="B4435" s="1"/>
      <c r="C4435" s="1"/>
      <c r="I4435" s="3"/>
      <c r="J4435" s="3"/>
      <c r="K4435" s="3"/>
      <c r="L4435" s="3"/>
    </row>
    <row r="4436" spans="2:12" x14ac:dyDescent="0.3">
      <c r="B4436" s="1"/>
      <c r="C4436" s="1"/>
      <c r="I4436" s="3"/>
      <c r="J4436" s="3"/>
      <c r="K4436" s="3"/>
      <c r="L4436" s="3"/>
    </row>
    <row r="4437" spans="2:12" x14ac:dyDescent="0.3">
      <c r="B4437" s="1"/>
      <c r="C4437" s="1"/>
      <c r="I4437" s="3"/>
      <c r="J4437" s="3"/>
      <c r="K4437" s="3"/>
      <c r="L4437" s="3"/>
    </row>
    <row r="4438" spans="2:12" x14ac:dyDescent="0.3">
      <c r="B4438" s="1"/>
      <c r="C4438" s="1"/>
      <c r="I4438" s="3"/>
      <c r="J4438" s="3"/>
      <c r="K4438" s="3"/>
      <c r="L4438" s="3"/>
    </row>
    <row r="4439" spans="2:12" x14ac:dyDescent="0.3">
      <c r="B4439" s="1"/>
      <c r="C4439" s="1"/>
      <c r="I4439" s="3"/>
      <c r="J4439" s="3"/>
      <c r="K4439" s="3"/>
      <c r="L4439" s="3"/>
    </row>
    <row r="4440" spans="2:12" x14ac:dyDescent="0.3">
      <c r="B4440" s="1"/>
      <c r="C4440" s="1"/>
      <c r="I4440" s="3"/>
      <c r="J4440" s="3"/>
      <c r="K4440" s="3"/>
      <c r="L4440" s="3"/>
    </row>
    <row r="4441" spans="2:12" x14ac:dyDescent="0.3">
      <c r="B4441" s="1"/>
      <c r="C4441" s="1"/>
      <c r="I4441" s="3"/>
      <c r="J4441" s="3"/>
      <c r="K4441" s="3"/>
      <c r="L4441" s="3"/>
    </row>
    <row r="4442" spans="2:12" x14ac:dyDescent="0.3">
      <c r="B4442" s="1"/>
      <c r="C4442" s="1"/>
      <c r="I4442" s="3"/>
      <c r="J4442" s="3"/>
      <c r="K4442" s="3"/>
      <c r="L4442" s="3"/>
    </row>
    <row r="4443" spans="2:12" x14ac:dyDescent="0.3">
      <c r="B4443" s="1"/>
      <c r="C4443" s="1"/>
      <c r="I4443" s="3"/>
      <c r="J4443" s="3"/>
      <c r="K4443" s="3"/>
      <c r="L4443" s="3"/>
    </row>
    <row r="4444" spans="2:12" x14ac:dyDescent="0.3">
      <c r="B4444" s="1"/>
      <c r="C4444" s="1"/>
      <c r="I4444" s="3"/>
      <c r="J4444" s="3"/>
      <c r="K4444" s="3"/>
      <c r="L4444" s="3"/>
    </row>
    <row r="4445" spans="2:12" x14ac:dyDescent="0.3">
      <c r="B4445" s="1"/>
      <c r="C4445" s="1"/>
      <c r="I4445" s="3"/>
      <c r="J4445" s="3"/>
      <c r="K4445" s="3"/>
      <c r="L4445" s="3"/>
    </row>
    <row r="4446" spans="2:12" x14ac:dyDescent="0.3">
      <c r="B4446" s="1"/>
      <c r="C4446" s="1"/>
      <c r="I4446" s="3"/>
      <c r="J4446" s="3"/>
      <c r="K4446" s="3"/>
      <c r="L4446" s="3"/>
    </row>
    <row r="4447" spans="2:12" x14ac:dyDescent="0.3">
      <c r="B4447" s="1"/>
      <c r="C4447" s="1"/>
      <c r="I4447" s="3"/>
      <c r="J4447" s="3"/>
      <c r="K4447" s="3"/>
      <c r="L4447" s="3"/>
    </row>
    <row r="4448" spans="2:12" x14ac:dyDescent="0.3">
      <c r="B4448" s="1"/>
      <c r="C4448" s="1"/>
      <c r="I4448" s="3"/>
      <c r="J4448" s="3"/>
      <c r="K4448" s="3"/>
      <c r="L4448" s="3"/>
    </row>
    <row r="4449" spans="2:12" x14ac:dyDescent="0.3">
      <c r="B4449" s="1"/>
      <c r="C4449" s="1"/>
      <c r="I4449" s="3"/>
      <c r="J4449" s="3"/>
      <c r="K4449" s="3"/>
      <c r="L4449" s="3"/>
    </row>
    <row r="4450" spans="2:12" x14ac:dyDescent="0.3">
      <c r="B4450" s="1"/>
      <c r="C4450" s="1"/>
      <c r="I4450" s="3"/>
      <c r="J4450" s="3"/>
      <c r="K4450" s="3"/>
      <c r="L4450" s="3"/>
    </row>
    <row r="4451" spans="2:12" x14ac:dyDescent="0.3">
      <c r="B4451" s="1"/>
      <c r="C4451" s="1"/>
      <c r="I4451" s="3"/>
      <c r="J4451" s="3"/>
      <c r="K4451" s="3"/>
      <c r="L4451" s="3"/>
    </row>
    <row r="4452" spans="2:12" x14ac:dyDescent="0.3">
      <c r="B4452" s="1"/>
      <c r="C4452" s="1"/>
      <c r="I4452" s="3"/>
      <c r="J4452" s="3"/>
      <c r="K4452" s="3"/>
      <c r="L4452" s="3"/>
    </row>
    <row r="4453" spans="2:12" x14ac:dyDescent="0.3">
      <c r="B4453" s="1"/>
      <c r="C4453" s="1"/>
      <c r="I4453" s="3"/>
      <c r="J4453" s="3"/>
      <c r="K4453" s="3"/>
      <c r="L4453" s="3"/>
    </row>
    <row r="4454" spans="2:12" x14ac:dyDescent="0.3">
      <c r="B4454" s="1"/>
      <c r="C4454" s="1"/>
      <c r="I4454" s="3"/>
      <c r="J4454" s="3"/>
      <c r="K4454" s="3"/>
      <c r="L4454" s="3"/>
    </row>
    <row r="4455" spans="2:12" x14ac:dyDescent="0.3">
      <c r="B4455" s="1"/>
      <c r="C4455" s="1"/>
      <c r="I4455" s="3"/>
      <c r="J4455" s="3"/>
      <c r="K4455" s="3"/>
      <c r="L4455" s="3"/>
    </row>
    <row r="4456" spans="2:12" x14ac:dyDescent="0.3">
      <c r="B4456" s="1"/>
      <c r="C4456" s="1"/>
      <c r="I4456" s="3"/>
      <c r="J4456" s="3"/>
      <c r="K4456" s="3"/>
      <c r="L4456" s="3"/>
    </row>
    <row r="4457" spans="2:12" x14ac:dyDescent="0.3">
      <c r="B4457" s="1"/>
      <c r="C4457" s="1"/>
      <c r="I4457" s="3"/>
      <c r="J4457" s="3"/>
      <c r="K4457" s="3"/>
      <c r="L4457" s="3"/>
    </row>
    <row r="4458" spans="2:12" x14ac:dyDescent="0.3">
      <c r="B4458" s="1"/>
      <c r="C4458" s="1"/>
      <c r="I4458" s="3"/>
      <c r="J4458" s="3"/>
      <c r="K4458" s="3"/>
      <c r="L4458" s="3"/>
    </row>
    <row r="4459" spans="2:12" x14ac:dyDescent="0.3">
      <c r="B4459" s="1"/>
      <c r="C4459" s="1"/>
      <c r="I4459" s="3"/>
      <c r="J4459" s="3"/>
      <c r="K4459" s="3"/>
      <c r="L4459" s="3"/>
    </row>
    <row r="4460" spans="2:12" x14ac:dyDescent="0.3">
      <c r="B4460" s="1"/>
      <c r="C4460" s="1"/>
      <c r="I4460" s="3"/>
      <c r="J4460" s="3"/>
      <c r="K4460" s="3"/>
      <c r="L4460" s="3"/>
    </row>
    <row r="4461" spans="2:12" x14ac:dyDescent="0.3">
      <c r="B4461" s="1"/>
      <c r="C4461" s="1"/>
      <c r="I4461" s="3"/>
      <c r="J4461" s="3"/>
      <c r="K4461" s="3"/>
      <c r="L4461" s="3"/>
    </row>
    <row r="4462" spans="2:12" x14ac:dyDescent="0.3">
      <c r="B4462" s="1"/>
      <c r="C4462" s="1"/>
      <c r="I4462" s="3"/>
      <c r="J4462" s="3"/>
      <c r="K4462" s="3"/>
      <c r="L4462" s="3"/>
    </row>
    <row r="4463" spans="2:12" x14ac:dyDescent="0.3">
      <c r="B4463" s="1"/>
      <c r="C4463" s="1"/>
      <c r="I4463" s="3"/>
      <c r="J4463" s="3"/>
      <c r="K4463" s="3"/>
      <c r="L4463" s="3"/>
    </row>
    <row r="4464" spans="2:12" x14ac:dyDescent="0.3">
      <c r="B4464" s="1"/>
      <c r="C4464" s="1"/>
      <c r="I4464" s="3"/>
      <c r="J4464" s="3"/>
      <c r="K4464" s="3"/>
      <c r="L4464" s="3"/>
    </row>
    <row r="4465" spans="2:12" x14ac:dyDescent="0.3">
      <c r="B4465" s="1"/>
      <c r="C4465" s="1"/>
      <c r="I4465" s="3"/>
      <c r="J4465" s="3"/>
      <c r="K4465" s="3"/>
      <c r="L4465" s="3"/>
    </row>
    <row r="4466" spans="2:12" x14ac:dyDescent="0.3">
      <c r="B4466" s="1"/>
      <c r="C4466" s="1"/>
      <c r="I4466" s="3"/>
      <c r="J4466" s="3"/>
      <c r="K4466" s="3"/>
      <c r="L4466" s="3"/>
    </row>
    <row r="4467" spans="2:12" x14ac:dyDescent="0.3">
      <c r="B4467" s="1"/>
      <c r="C4467" s="1"/>
      <c r="I4467" s="3"/>
      <c r="J4467" s="3"/>
      <c r="K4467" s="3"/>
      <c r="L4467" s="3"/>
    </row>
    <row r="4468" spans="2:12" x14ac:dyDescent="0.3">
      <c r="B4468" s="1"/>
      <c r="C4468" s="1"/>
      <c r="I4468" s="3"/>
      <c r="J4468" s="3"/>
      <c r="K4468" s="3"/>
      <c r="L4468" s="3"/>
    </row>
    <row r="4469" spans="2:12" x14ac:dyDescent="0.3">
      <c r="B4469" s="1"/>
      <c r="C4469" s="1"/>
      <c r="I4469" s="3"/>
      <c r="J4469" s="3"/>
      <c r="K4469" s="3"/>
      <c r="L4469" s="3"/>
    </row>
    <row r="4470" spans="2:12" x14ac:dyDescent="0.3">
      <c r="B4470" s="1"/>
      <c r="C4470" s="1"/>
      <c r="I4470" s="3"/>
      <c r="J4470" s="3"/>
      <c r="K4470" s="3"/>
      <c r="L4470" s="3"/>
    </row>
    <row r="4471" spans="2:12" x14ac:dyDescent="0.3">
      <c r="B4471" s="1"/>
      <c r="C4471" s="1"/>
      <c r="I4471" s="3"/>
      <c r="J4471" s="3"/>
      <c r="K4471" s="3"/>
      <c r="L4471" s="3"/>
    </row>
    <row r="4472" spans="2:12" x14ac:dyDescent="0.3">
      <c r="B4472" s="1"/>
      <c r="C4472" s="1"/>
      <c r="I4472" s="3"/>
      <c r="J4472" s="3"/>
      <c r="K4472" s="3"/>
      <c r="L4472" s="3"/>
    </row>
    <row r="4473" spans="2:12" x14ac:dyDescent="0.3">
      <c r="B4473" s="1"/>
      <c r="C4473" s="1"/>
      <c r="I4473" s="3"/>
      <c r="J4473" s="3"/>
      <c r="K4473" s="3"/>
      <c r="L4473" s="3"/>
    </row>
    <row r="4474" spans="2:12" x14ac:dyDescent="0.3">
      <c r="B4474" s="1"/>
      <c r="C4474" s="1"/>
      <c r="I4474" s="3"/>
      <c r="J4474" s="3"/>
      <c r="K4474" s="3"/>
      <c r="L4474" s="3"/>
    </row>
    <row r="4475" spans="2:12" x14ac:dyDescent="0.3">
      <c r="B4475" s="1"/>
      <c r="C4475" s="1"/>
      <c r="I4475" s="3"/>
      <c r="J4475" s="3"/>
      <c r="K4475" s="3"/>
      <c r="L4475" s="3"/>
    </row>
    <row r="4476" spans="2:12" x14ac:dyDescent="0.3">
      <c r="B4476" s="1"/>
      <c r="C4476" s="1"/>
      <c r="I4476" s="3"/>
      <c r="J4476" s="3"/>
      <c r="K4476" s="3"/>
      <c r="L4476" s="3"/>
    </row>
    <row r="4477" spans="2:12" x14ac:dyDescent="0.3">
      <c r="B4477" s="1"/>
      <c r="C4477" s="1"/>
      <c r="I4477" s="3"/>
      <c r="J4477" s="3"/>
      <c r="K4477" s="3"/>
      <c r="L4477" s="3"/>
    </row>
    <row r="4478" spans="2:12" x14ac:dyDescent="0.3">
      <c r="B4478" s="1"/>
      <c r="C4478" s="1"/>
      <c r="I4478" s="3"/>
      <c r="J4478" s="3"/>
      <c r="K4478" s="3"/>
      <c r="L4478" s="3"/>
    </row>
    <row r="4479" spans="2:12" x14ac:dyDescent="0.3">
      <c r="B4479" s="1"/>
      <c r="C4479" s="1"/>
      <c r="I4479" s="3"/>
      <c r="J4479" s="3"/>
      <c r="K4479" s="3"/>
      <c r="L4479" s="3"/>
    </row>
    <row r="4480" spans="2:12" x14ac:dyDescent="0.3">
      <c r="B4480" s="1"/>
      <c r="C4480" s="1"/>
      <c r="I4480" s="3"/>
      <c r="J4480" s="3"/>
      <c r="K4480" s="3"/>
      <c r="L4480" s="3"/>
    </row>
    <row r="4481" spans="2:12" x14ac:dyDescent="0.3">
      <c r="B4481" s="1"/>
      <c r="C4481" s="1"/>
      <c r="I4481" s="3"/>
      <c r="J4481" s="3"/>
      <c r="K4481" s="3"/>
      <c r="L4481" s="3"/>
    </row>
    <row r="4482" spans="2:12" x14ac:dyDescent="0.3">
      <c r="B4482" s="1"/>
      <c r="C4482" s="1"/>
      <c r="I4482" s="3"/>
      <c r="J4482" s="3"/>
      <c r="K4482" s="3"/>
      <c r="L4482" s="3"/>
    </row>
    <row r="4483" spans="2:12" x14ac:dyDescent="0.3">
      <c r="B4483" s="1"/>
      <c r="C4483" s="1"/>
      <c r="I4483" s="3"/>
      <c r="J4483" s="3"/>
      <c r="K4483" s="3"/>
      <c r="L4483" s="3"/>
    </row>
    <row r="4484" spans="2:12" x14ac:dyDescent="0.3">
      <c r="B4484" s="1"/>
      <c r="C4484" s="1"/>
      <c r="I4484" s="3"/>
      <c r="J4484" s="3"/>
      <c r="K4484" s="3"/>
      <c r="L4484" s="3"/>
    </row>
    <row r="4485" spans="2:12" x14ac:dyDescent="0.3">
      <c r="B4485" s="1"/>
      <c r="C4485" s="1"/>
      <c r="I4485" s="3"/>
      <c r="J4485" s="3"/>
      <c r="K4485" s="3"/>
      <c r="L4485" s="3"/>
    </row>
    <row r="4486" spans="2:12" x14ac:dyDescent="0.3">
      <c r="B4486" s="1"/>
      <c r="C4486" s="1"/>
      <c r="I4486" s="3"/>
      <c r="J4486" s="3"/>
      <c r="K4486" s="3"/>
      <c r="L4486" s="3"/>
    </row>
    <row r="4487" spans="2:12" x14ac:dyDescent="0.3">
      <c r="B4487" s="1"/>
      <c r="C4487" s="1"/>
      <c r="I4487" s="3"/>
      <c r="J4487" s="3"/>
      <c r="K4487" s="3"/>
      <c r="L4487" s="3"/>
    </row>
    <row r="4488" spans="2:12" x14ac:dyDescent="0.3">
      <c r="B4488" s="1"/>
      <c r="C4488" s="1"/>
      <c r="I4488" s="3"/>
      <c r="J4488" s="3"/>
      <c r="K4488" s="3"/>
      <c r="L4488" s="3"/>
    </row>
    <row r="4489" spans="2:12" x14ac:dyDescent="0.3">
      <c r="B4489" s="1"/>
      <c r="C4489" s="1"/>
      <c r="I4489" s="3"/>
      <c r="J4489" s="3"/>
      <c r="K4489" s="3"/>
      <c r="L4489" s="3"/>
    </row>
    <row r="4490" spans="2:12" x14ac:dyDescent="0.3">
      <c r="B4490" s="1"/>
      <c r="C4490" s="1"/>
      <c r="I4490" s="3"/>
      <c r="J4490" s="3"/>
      <c r="K4490" s="3"/>
      <c r="L4490" s="3"/>
    </row>
    <row r="4491" spans="2:12" x14ac:dyDescent="0.3">
      <c r="B4491" s="1"/>
      <c r="C4491" s="1"/>
      <c r="I4491" s="3"/>
      <c r="J4491" s="3"/>
      <c r="K4491" s="3"/>
      <c r="L4491" s="3"/>
    </row>
    <row r="4492" spans="2:12" x14ac:dyDescent="0.3">
      <c r="B4492" s="1"/>
      <c r="C4492" s="1"/>
      <c r="I4492" s="3"/>
      <c r="J4492" s="3"/>
      <c r="K4492" s="3"/>
      <c r="L4492" s="3"/>
    </row>
    <row r="4493" spans="2:12" x14ac:dyDescent="0.3">
      <c r="B4493" s="1"/>
      <c r="C4493" s="1"/>
      <c r="I4493" s="3"/>
      <c r="J4493" s="3"/>
      <c r="K4493" s="3"/>
      <c r="L4493" s="3"/>
    </row>
    <row r="4494" spans="2:12" x14ac:dyDescent="0.3">
      <c r="B4494" s="1"/>
      <c r="C4494" s="1"/>
      <c r="I4494" s="3"/>
      <c r="J4494" s="3"/>
      <c r="K4494" s="3"/>
      <c r="L4494" s="3"/>
    </row>
    <row r="4495" spans="2:12" x14ac:dyDescent="0.3">
      <c r="B4495" s="1"/>
      <c r="C4495" s="1"/>
      <c r="I4495" s="3"/>
      <c r="J4495" s="3"/>
      <c r="K4495" s="3"/>
      <c r="L4495" s="3"/>
    </row>
    <row r="4496" spans="2:12" x14ac:dyDescent="0.3">
      <c r="B4496" s="1"/>
      <c r="C4496" s="1"/>
      <c r="I4496" s="3"/>
      <c r="J4496" s="3"/>
      <c r="K4496" s="3"/>
      <c r="L4496" s="3"/>
    </row>
    <row r="4497" spans="2:12" x14ac:dyDescent="0.3">
      <c r="B4497" s="1"/>
      <c r="C4497" s="1"/>
      <c r="I4497" s="3"/>
      <c r="J4497" s="3"/>
      <c r="K4497" s="3"/>
      <c r="L4497" s="3"/>
    </row>
    <row r="4498" spans="2:12" x14ac:dyDescent="0.3">
      <c r="B4498" s="1"/>
      <c r="C4498" s="1"/>
      <c r="I4498" s="3"/>
      <c r="J4498" s="3"/>
      <c r="K4498" s="3"/>
      <c r="L4498" s="3"/>
    </row>
    <row r="4499" spans="2:12" x14ac:dyDescent="0.3">
      <c r="B4499" s="1"/>
      <c r="C4499" s="1"/>
      <c r="I4499" s="3"/>
      <c r="J4499" s="3"/>
      <c r="K4499" s="3"/>
      <c r="L4499" s="3"/>
    </row>
    <row r="4500" spans="2:12" x14ac:dyDescent="0.3">
      <c r="B4500" s="1"/>
      <c r="C4500" s="1"/>
      <c r="I4500" s="3"/>
      <c r="J4500" s="3"/>
      <c r="K4500" s="3"/>
      <c r="L4500" s="3"/>
    </row>
    <row r="4501" spans="2:12" x14ac:dyDescent="0.3">
      <c r="B4501" s="1"/>
      <c r="C4501" s="1"/>
      <c r="I4501" s="3"/>
      <c r="J4501" s="3"/>
      <c r="K4501" s="3"/>
      <c r="L4501" s="3"/>
    </row>
    <row r="4502" spans="2:12" x14ac:dyDescent="0.3">
      <c r="B4502" s="1"/>
      <c r="C4502" s="1"/>
      <c r="I4502" s="3"/>
      <c r="J4502" s="3"/>
      <c r="K4502" s="3"/>
      <c r="L4502" s="3"/>
    </row>
    <row r="4503" spans="2:12" x14ac:dyDescent="0.3">
      <c r="B4503" s="1"/>
      <c r="C4503" s="1"/>
      <c r="I4503" s="3"/>
      <c r="J4503" s="3"/>
      <c r="K4503" s="3"/>
      <c r="L4503" s="3"/>
    </row>
    <row r="4504" spans="2:12" x14ac:dyDescent="0.3">
      <c r="B4504" s="1"/>
      <c r="C4504" s="1"/>
      <c r="I4504" s="3"/>
      <c r="J4504" s="3"/>
      <c r="K4504" s="3"/>
      <c r="L4504" s="3"/>
    </row>
    <row r="4505" spans="2:12" x14ac:dyDescent="0.3">
      <c r="B4505" s="1"/>
      <c r="C4505" s="1"/>
      <c r="I4505" s="3"/>
      <c r="J4505" s="3"/>
      <c r="K4505" s="3"/>
      <c r="L4505" s="3"/>
    </row>
    <row r="4506" spans="2:12" x14ac:dyDescent="0.3">
      <c r="B4506" s="1"/>
      <c r="C4506" s="1"/>
      <c r="I4506" s="3"/>
      <c r="J4506" s="3"/>
      <c r="K4506" s="3"/>
      <c r="L4506" s="3"/>
    </row>
    <row r="4507" spans="2:12" x14ac:dyDescent="0.3">
      <c r="B4507" s="1"/>
      <c r="C4507" s="1"/>
      <c r="I4507" s="3"/>
      <c r="J4507" s="3"/>
      <c r="K4507" s="3"/>
      <c r="L4507" s="3"/>
    </row>
    <row r="4508" spans="2:12" x14ac:dyDescent="0.3">
      <c r="B4508" s="1"/>
      <c r="C4508" s="1"/>
      <c r="I4508" s="3"/>
      <c r="J4508" s="3"/>
      <c r="K4508" s="3"/>
      <c r="L4508" s="3"/>
    </row>
    <row r="4509" spans="2:12" x14ac:dyDescent="0.3">
      <c r="B4509" s="1"/>
      <c r="C4509" s="1"/>
      <c r="I4509" s="3"/>
      <c r="J4509" s="3"/>
      <c r="K4509" s="3"/>
      <c r="L4509" s="3"/>
    </row>
    <row r="4510" spans="2:12" x14ac:dyDescent="0.3">
      <c r="B4510" s="1"/>
      <c r="C4510" s="1"/>
      <c r="I4510" s="3"/>
      <c r="J4510" s="3"/>
      <c r="K4510" s="3"/>
      <c r="L4510" s="3"/>
    </row>
    <row r="4511" spans="2:12" x14ac:dyDescent="0.3">
      <c r="B4511" s="1"/>
      <c r="C4511" s="1"/>
      <c r="I4511" s="3"/>
      <c r="J4511" s="3"/>
      <c r="K4511" s="3"/>
      <c r="L4511" s="3"/>
    </row>
    <row r="4512" spans="2:12" x14ac:dyDescent="0.3">
      <c r="B4512" s="1"/>
      <c r="C4512" s="1"/>
      <c r="I4512" s="3"/>
      <c r="J4512" s="3"/>
      <c r="K4512" s="3"/>
      <c r="L4512" s="3"/>
    </row>
    <row r="4513" spans="2:12" x14ac:dyDescent="0.3">
      <c r="B4513" s="1"/>
      <c r="C4513" s="1"/>
      <c r="I4513" s="3"/>
      <c r="J4513" s="3"/>
      <c r="K4513" s="3"/>
      <c r="L4513" s="3"/>
    </row>
    <row r="4514" spans="2:12" x14ac:dyDescent="0.3">
      <c r="B4514" s="1"/>
      <c r="C4514" s="1"/>
      <c r="I4514" s="3"/>
      <c r="J4514" s="3"/>
      <c r="K4514" s="3"/>
      <c r="L4514" s="3"/>
    </row>
    <row r="4515" spans="2:12" x14ac:dyDescent="0.3">
      <c r="B4515" s="1"/>
      <c r="C4515" s="1"/>
      <c r="I4515" s="3"/>
      <c r="J4515" s="3"/>
      <c r="K4515" s="3"/>
      <c r="L4515" s="3"/>
    </row>
    <row r="4516" spans="2:12" x14ac:dyDescent="0.3">
      <c r="B4516" s="1"/>
      <c r="C4516" s="1"/>
      <c r="I4516" s="3"/>
      <c r="J4516" s="3"/>
      <c r="K4516" s="3"/>
      <c r="L4516" s="3"/>
    </row>
    <row r="4517" spans="2:12" x14ac:dyDescent="0.3">
      <c r="B4517" s="1"/>
      <c r="C4517" s="1"/>
      <c r="I4517" s="3"/>
      <c r="J4517" s="3"/>
      <c r="K4517" s="3"/>
      <c r="L4517" s="3"/>
    </row>
    <row r="4518" spans="2:12" x14ac:dyDescent="0.3">
      <c r="B4518" s="1"/>
      <c r="C4518" s="1"/>
      <c r="I4518" s="3"/>
      <c r="J4518" s="3"/>
      <c r="K4518" s="3"/>
      <c r="L4518" s="3"/>
    </row>
    <row r="4519" spans="2:12" x14ac:dyDescent="0.3">
      <c r="B4519" s="1"/>
      <c r="C4519" s="1"/>
      <c r="I4519" s="3"/>
      <c r="J4519" s="3"/>
      <c r="K4519" s="3"/>
      <c r="L4519" s="3"/>
    </row>
    <row r="4520" spans="2:12" x14ac:dyDescent="0.3">
      <c r="B4520" s="1"/>
      <c r="C4520" s="1"/>
      <c r="I4520" s="3"/>
      <c r="J4520" s="3"/>
      <c r="K4520" s="3"/>
      <c r="L4520" s="3"/>
    </row>
    <row r="4521" spans="2:12" x14ac:dyDescent="0.3">
      <c r="B4521" s="1"/>
      <c r="C4521" s="1"/>
      <c r="I4521" s="3"/>
      <c r="J4521" s="3"/>
      <c r="K4521" s="3"/>
      <c r="L4521" s="3"/>
    </row>
    <row r="4522" spans="2:12" x14ac:dyDescent="0.3">
      <c r="B4522" s="1"/>
      <c r="C4522" s="1"/>
      <c r="I4522" s="3"/>
      <c r="J4522" s="3"/>
      <c r="K4522" s="3"/>
      <c r="L4522" s="3"/>
    </row>
    <row r="4523" spans="2:12" x14ac:dyDescent="0.3">
      <c r="B4523" s="1"/>
      <c r="C4523" s="1"/>
      <c r="I4523" s="3"/>
      <c r="J4523" s="3"/>
      <c r="K4523" s="3"/>
      <c r="L4523" s="3"/>
    </row>
    <row r="4524" spans="2:12" x14ac:dyDescent="0.3">
      <c r="B4524" s="1"/>
      <c r="C4524" s="1"/>
      <c r="I4524" s="3"/>
      <c r="J4524" s="3"/>
      <c r="K4524" s="3"/>
      <c r="L4524" s="3"/>
    </row>
    <row r="4525" spans="2:12" x14ac:dyDescent="0.3">
      <c r="B4525" s="1"/>
      <c r="C4525" s="1"/>
      <c r="I4525" s="3"/>
      <c r="J4525" s="3"/>
      <c r="K4525" s="3"/>
      <c r="L4525" s="3"/>
    </row>
    <row r="4526" spans="2:12" x14ac:dyDescent="0.3">
      <c r="B4526" s="1"/>
      <c r="C4526" s="1"/>
      <c r="I4526" s="3"/>
      <c r="J4526" s="3"/>
      <c r="K4526" s="3"/>
      <c r="L4526" s="3"/>
    </row>
    <row r="4527" spans="2:12" x14ac:dyDescent="0.3">
      <c r="B4527" s="1"/>
      <c r="C4527" s="1"/>
      <c r="I4527" s="3"/>
      <c r="J4527" s="3"/>
      <c r="K4527" s="3"/>
      <c r="L4527" s="3"/>
    </row>
    <row r="4528" spans="2:12" x14ac:dyDescent="0.3">
      <c r="B4528" s="1"/>
      <c r="C4528" s="1"/>
      <c r="I4528" s="3"/>
      <c r="J4528" s="3"/>
      <c r="K4528" s="3"/>
      <c r="L4528" s="3"/>
    </row>
    <row r="4529" spans="2:12" x14ac:dyDescent="0.3">
      <c r="B4529" s="1"/>
      <c r="C4529" s="1"/>
      <c r="I4529" s="3"/>
      <c r="J4529" s="3"/>
      <c r="K4529" s="3"/>
      <c r="L4529" s="3"/>
    </row>
    <row r="4530" spans="2:12" x14ac:dyDescent="0.3">
      <c r="B4530" s="1"/>
      <c r="C4530" s="1"/>
      <c r="I4530" s="3"/>
      <c r="J4530" s="3"/>
      <c r="K4530" s="3"/>
      <c r="L4530" s="3"/>
    </row>
    <row r="4531" spans="2:12" x14ac:dyDescent="0.3">
      <c r="B4531" s="1"/>
      <c r="C4531" s="1"/>
      <c r="I4531" s="3"/>
      <c r="J4531" s="3"/>
      <c r="K4531" s="3"/>
      <c r="L4531" s="3"/>
    </row>
    <row r="4532" spans="2:12" x14ac:dyDescent="0.3">
      <c r="B4532" s="1"/>
      <c r="C4532" s="1"/>
      <c r="I4532" s="3"/>
      <c r="J4532" s="3"/>
      <c r="K4532" s="3"/>
      <c r="L4532" s="3"/>
    </row>
    <row r="4533" spans="2:12" x14ac:dyDescent="0.3">
      <c r="B4533" s="1"/>
      <c r="C4533" s="1"/>
      <c r="I4533" s="3"/>
      <c r="J4533" s="3"/>
      <c r="K4533" s="3"/>
      <c r="L4533" s="3"/>
    </row>
    <row r="4534" spans="2:12" x14ac:dyDescent="0.3">
      <c r="B4534" s="1"/>
      <c r="C4534" s="1"/>
      <c r="I4534" s="3"/>
      <c r="J4534" s="3"/>
      <c r="K4534" s="3"/>
      <c r="L4534" s="3"/>
    </row>
    <row r="4535" spans="2:12" x14ac:dyDescent="0.3">
      <c r="B4535" s="1"/>
      <c r="C4535" s="1"/>
      <c r="I4535" s="3"/>
      <c r="J4535" s="3"/>
      <c r="K4535" s="3"/>
      <c r="L4535" s="3"/>
    </row>
    <row r="4536" spans="2:12" x14ac:dyDescent="0.3">
      <c r="B4536" s="1"/>
      <c r="C4536" s="1"/>
      <c r="I4536" s="3"/>
      <c r="J4536" s="3"/>
      <c r="K4536" s="3"/>
      <c r="L4536" s="3"/>
    </row>
    <row r="4537" spans="2:12" x14ac:dyDescent="0.3">
      <c r="B4537" s="1"/>
      <c r="C4537" s="1"/>
      <c r="I4537" s="3"/>
      <c r="J4537" s="3"/>
      <c r="K4537" s="3"/>
      <c r="L4537" s="3"/>
    </row>
    <row r="4538" spans="2:12" x14ac:dyDescent="0.3">
      <c r="B4538" s="1"/>
      <c r="C4538" s="1"/>
      <c r="I4538" s="3"/>
      <c r="J4538" s="3"/>
      <c r="K4538" s="3"/>
      <c r="L4538" s="3"/>
    </row>
    <row r="4539" spans="2:12" x14ac:dyDescent="0.3">
      <c r="B4539" s="1"/>
      <c r="C4539" s="1"/>
      <c r="I4539" s="3"/>
      <c r="J4539" s="3"/>
      <c r="K4539" s="3"/>
      <c r="L4539" s="3"/>
    </row>
    <row r="4540" spans="2:12" x14ac:dyDescent="0.3">
      <c r="B4540" s="1"/>
      <c r="C4540" s="1"/>
      <c r="I4540" s="3"/>
      <c r="J4540" s="3"/>
      <c r="K4540" s="3"/>
      <c r="L4540" s="3"/>
    </row>
    <row r="4541" spans="2:12" x14ac:dyDescent="0.3">
      <c r="B4541" s="1"/>
      <c r="C4541" s="1"/>
      <c r="I4541" s="3"/>
      <c r="J4541" s="3"/>
      <c r="K4541" s="3"/>
      <c r="L4541" s="3"/>
    </row>
    <row r="4542" spans="2:12" x14ac:dyDescent="0.3">
      <c r="B4542" s="1"/>
      <c r="C4542" s="1"/>
      <c r="I4542" s="3"/>
      <c r="J4542" s="3"/>
      <c r="K4542" s="3"/>
      <c r="L4542" s="3"/>
    </row>
    <row r="4543" spans="2:12" x14ac:dyDescent="0.3">
      <c r="B4543" s="1"/>
      <c r="C4543" s="1"/>
      <c r="I4543" s="3"/>
      <c r="J4543" s="3"/>
      <c r="K4543" s="3"/>
      <c r="L4543" s="3"/>
    </row>
    <row r="4544" spans="2:12" x14ac:dyDescent="0.3">
      <c r="B4544" s="1"/>
      <c r="C4544" s="1"/>
      <c r="I4544" s="3"/>
      <c r="J4544" s="3"/>
      <c r="K4544" s="3"/>
      <c r="L4544" s="3"/>
    </row>
    <row r="4545" spans="2:12" x14ac:dyDescent="0.3">
      <c r="B4545" s="1"/>
      <c r="C4545" s="1"/>
      <c r="I4545" s="3"/>
      <c r="J4545" s="3"/>
      <c r="K4545" s="3"/>
      <c r="L4545" s="3"/>
    </row>
    <row r="4546" spans="2:12" x14ac:dyDescent="0.3">
      <c r="B4546" s="1"/>
      <c r="C4546" s="1"/>
      <c r="I4546" s="3"/>
      <c r="J4546" s="3"/>
      <c r="K4546" s="3"/>
      <c r="L4546" s="3"/>
    </row>
    <row r="4547" spans="2:12" x14ac:dyDescent="0.3">
      <c r="B4547" s="1"/>
      <c r="C4547" s="1"/>
      <c r="I4547" s="3"/>
      <c r="J4547" s="3"/>
      <c r="K4547" s="3"/>
      <c r="L4547" s="3"/>
    </row>
    <row r="4548" spans="2:12" x14ac:dyDescent="0.3">
      <c r="B4548" s="1"/>
      <c r="C4548" s="1"/>
      <c r="I4548" s="3"/>
      <c r="J4548" s="3"/>
      <c r="K4548" s="3"/>
      <c r="L4548" s="3"/>
    </row>
    <row r="4549" spans="2:12" x14ac:dyDescent="0.3">
      <c r="B4549" s="1"/>
      <c r="C4549" s="1"/>
      <c r="I4549" s="3"/>
      <c r="J4549" s="3"/>
      <c r="K4549" s="3"/>
      <c r="L4549" s="3"/>
    </row>
    <row r="4550" spans="2:12" x14ac:dyDescent="0.3">
      <c r="B4550" s="1"/>
      <c r="C4550" s="1"/>
      <c r="I4550" s="3"/>
      <c r="J4550" s="3"/>
      <c r="K4550" s="3"/>
      <c r="L4550" s="3"/>
    </row>
    <row r="4551" spans="2:12" x14ac:dyDescent="0.3">
      <c r="B4551" s="1"/>
      <c r="C4551" s="1"/>
      <c r="I4551" s="3"/>
      <c r="J4551" s="3"/>
      <c r="K4551" s="3"/>
      <c r="L4551" s="3"/>
    </row>
    <row r="4552" spans="2:12" x14ac:dyDescent="0.3">
      <c r="B4552" s="1"/>
      <c r="C4552" s="1"/>
      <c r="I4552" s="3"/>
      <c r="J4552" s="3"/>
      <c r="K4552" s="3"/>
      <c r="L4552" s="3"/>
    </row>
    <row r="4553" spans="2:12" x14ac:dyDescent="0.3">
      <c r="B4553" s="1"/>
      <c r="C4553" s="1"/>
      <c r="I4553" s="3"/>
      <c r="J4553" s="3"/>
      <c r="K4553" s="3"/>
      <c r="L4553" s="3"/>
    </row>
    <row r="4554" spans="2:12" x14ac:dyDescent="0.3">
      <c r="B4554" s="1"/>
      <c r="C4554" s="1"/>
      <c r="I4554" s="3"/>
      <c r="J4554" s="3"/>
      <c r="K4554" s="3"/>
      <c r="L4554" s="3"/>
    </row>
    <row r="4555" spans="2:12" x14ac:dyDescent="0.3">
      <c r="B4555" s="1"/>
      <c r="C4555" s="1"/>
      <c r="I4555" s="3"/>
      <c r="J4555" s="3"/>
      <c r="K4555" s="3"/>
      <c r="L4555" s="3"/>
    </row>
    <row r="4556" spans="2:12" x14ac:dyDescent="0.3">
      <c r="B4556" s="1"/>
      <c r="C4556" s="1"/>
      <c r="I4556" s="3"/>
      <c r="J4556" s="3"/>
      <c r="K4556" s="3"/>
      <c r="L4556" s="3"/>
    </row>
    <row r="4557" spans="2:12" x14ac:dyDescent="0.3">
      <c r="B4557" s="1"/>
      <c r="C4557" s="1"/>
      <c r="I4557" s="3"/>
      <c r="J4557" s="3"/>
      <c r="K4557" s="3"/>
      <c r="L4557" s="3"/>
    </row>
    <row r="4558" spans="2:12" x14ac:dyDescent="0.3">
      <c r="B4558" s="1"/>
      <c r="C4558" s="1"/>
      <c r="I4558" s="3"/>
      <c r="J4558" s="3"/>
      <c r="K4558" s="3"/>
      <c r="L4558" s="3"/>
    </row>
    <row r="4559" spans="2:12" x14ac:dyDescent="0.3">
      <c r="B4559" s="1"/>
      <c r="C4559" s="1"/>
      <c r="I4559" s="3"/>
      <c r="J4559" s="3"/>
      <c r="K4559" s="3"/>
      <c r="L4559" s="3"/>
    </row>
    <row r="4560" spans="2:12" x14ac:dyDescent="0.3">
      <c r="B4560" s="1"/>
      <c r="C4560" s="1"/>
      <c r="I4560" s="3"/>
      <c r="J4560" s="3"/>
      <c r="K4560" s="3"/>
      <c r="L4560" s="3"/>
    </row>
    <row r="4561" spans="2:12" x14ac:dyDescent="0.3">
      <c r="B4561" s="1"/>
      <c r="C4561" s="1"/>
      <c r="I4561" s="3"/>
      <c r="J4561" s="3"/>
      <c r="K4561" s="3"/>
      <c r="L4561" s="3"/>
    </row>
    <row r="4562" spans="2:12" x14ac:dyDescent="0.3">
      <c r="B4562" s="1"/>
      <c r="C4562" s="1"/>
      <c r="I4562" s="3"/>
      <c r="J4562" s="3"/>
      <c r="K4562" s="3"/>
      <c r="L4562" s="3"/>
    </row>
    <row r="4563" spans="2:12" x14ac:dyDescent="0.3">
      <c r="B4563" s="1"/>
      <c r="C4563" s="1"/>
      <c r="I4563" s="3"/>
      <c r="J4563" s="3"/>
      <c r="K4563" s="3"/>
      <c r="L4563" s="3"/>
    </row>
    <row r="4564" spans="2:12" x14ac:dyDescent="0.3">
      <c r="B4564" s="1"/>
      <c r="C4564" s="1"/>
      <c r="I4564" s="3"/>
      <c r="J4564" s="3"/>
      <c r="K4564" s="3"/>
      <c r="L4564" s="3"/>
    </row>
    <row r="4565" spans="2:12" x14ac:dyDescent="0.3">
      <c r="B4565" s="1"/>
      <c r="C4565" s="1"/>
      <c r="I4565" s="3"/>
      <c r="J4565" s="3"/>
      <c r="K4565" s="3"/>
      <c r="L4565" s="3"/>
    </row>
    <row r="4566" spans="2:12" x14ac:dyDescent="0.3">
      <c r="B4566" s="1"/>
      <c r="C4566" s="1"/>
      <c r="I4566" s="3"/>
      <c r="J4566" s="3"/>
      <c r="K4566" s="3"/>
      <c r="L4566" s="3"/>
    </row>
    <row r="4567" spans="2:12" x14ac:dyDescent="0.3">
      <c r="B4567" s="1"/>
      <c r="C4567" s="1"/>
      <c r="I4567" s="3"/>
      <c r="J4567" s="3"/>
      <c r="K4567" s="3"/>
      <c r="L4567" s="3"/>
    </row>
    <row r="4568" spans="2:12" x14ac:dyDescent="0.3">
      <c r="B4568" s="1"/>
      <c r="C4568" s="1"/>
      <c r="I4568" s="3"/>
      <c r="J4568" s="3"/>
      <c r="K4568" s="3"/>
      <c r="L4568" s="3"/>
    </row>
    <row r="4569" spans="2:12" x14ac:dyDescent="0.3">
      <c r="B4569" s="1"/>
      <c r="C4569" s="1"/>
      <c r="I4569" s="3"/>
      <c r="J4569" s="3"/>
      <c r="K4569" s="3"/>
      <c r="L4569" s="3"/>
    </row>
    <row r="4570" spans="2:12" x14ac:dyDescent="0.3">
      <c r="B4570" s="1"/>
      <c r="C4570" s="1"/>
      <c r="I4570" s="3"/>
      <c r="J4570" s="3"/>
      <c r="K4570" s="3"/>
      <c r="L4570" s="3"/>
    </row>
    <row r="4571" spans="2:12" x14ac:dyDescent="0.3">
      <c r="B4571" s="1"/>
      <c r="C4571" s="1"/>
      <c r="I4571" s="3"/>
      <c r="J4571" s="3"/>
      <c r="K4571" s="3"/>
      <c r="L4571" s="3"/>
    </row>
    <row r="4572" spans="2:12" x14ac:dyDescent="0.3">
      <c r="B4572" s="1"/>
      <c r="C4572" s="1"/>
      <c r="I4572" s="3"/>
      <c r="J4572" s="3"/>
      <c r="K4572" s="3"/>
      <c r="L4572" s="3"/>
    </row>
    <row r="4573" spans="2:12" x14ac:dyDescent="0.3">
      <c r="B4573" s="1"/>
      <c r="C4573" s="1"/>
      <c r="I4573" s="3"/>
      <c r="J4573" s="3"/>
      <c r="K4573" s="3"/>
      <c r="L4573" s="3"/>
    </row>
    <row r="4574" spans="2:12" x14ac:dyDescent="0.3">
      <c r="B4574" s="1"/>
      <c r="C4574" s="1"/>
      <c r="I4574" s="3"/>
      <c r="J4574" s="3"/>
      <c r="K4574" s="3"/>
      <c r="L4574" s="3"/>
    </row>
    <row r="4575" spans="2:12" x14ac:dyDescent="0.3">
      <c r="B4575" s="1"/>
      <c r="C4575" s="1"/>
      <c r="I4575" s="3"/>
      <c r="J4575" s="3"/>
      <c r="K4575" s="3"/>
      <c r="L4575" s="3"/>
    </row>
    <row r="4576" spans="2:12" x14ac:dyDescent="0.3">
      <c r="B4576" s="1"/>
      <c r="C4576" s="1"/>
      <c r="I4576" s="3"/>
      <c r="J4576" s="3"/>
      <c r="K4576" s="3"/>
      <c r="L4576" s="3"/>
    </row>
    <row r="4577" spans="2:12" x14ac:dyDescent="0.3">
      <c r="B4577" s="1"/>
      <c r="C4577" s="1"/>
      <c r="I4577" s="3"/>
      <c r="J4577" s="3"/>
      <c r="K4577" s="3"/>
      <c r="L4577" s="3"/>
    </row>
    <row r="4578" spans="2:12" x14ac:dyDescent="0.3">
      <c r="B4578" s="1"/>
      <c r="C4578" s="1"/>
      <c r="I4578" s="3"/>
      <c r="J4578" s="3"/>
      <c r="K4578" s="3"/>
      <c r="L4578" s="3"/>
    </row>
    <row r="4579" spans="2:12" x14ac:dyDescent="0.3">
      <c r="B4579" s="1"/>
      <c r="C4579" s="1"/>
      <c r="I4579" s="3"/>
      <c r="J4579" s="3"/>
      <c r="K4579" s="3"/>
      <c r="L4579" s="3"/>
    </row>
    <row r="4580" spans="2:12" x14ac:dyDescent="0.3">
      <c r="B4580" s="1"/>
      <c r="C4580" s="1"/>
      <c r="I4580" s="3"/>
      <c r="J4580" s="3"/>
      <c r="K4580" s="3"/>
      <c r="L4580" s="3"/>
    </row>
    <row r="4581" spans="2:12" x14ac:dyDescent="0.3">
      <c r="B4581" s="1"/>
      <c r="C4581" s="1"/>
      <c r="I4581" s="3"/>
      <c r="J4581" s="3"/>
      <c r="K4581" s="3"/>
      <c r="L4581" s="3"/>
    </row>
    <row r="4582" spans="2:12" x14ac:dyDescent="0.3">
      <c r="B4582" s="1"/>
      <c r="C4582" s="1"/>
      <c r="I4582" s="3"/>
      <c r="J4582" s="3"/>
      <c r="K4582" s="3"/>
      <c r="L4582" s="3"/>
    </row>
    <row r="4583" spans="2:12" x14ac:dyDescent="0.3">
      <c r="B4583" s="1"/>
      <c r="C4583" s="1"/>
      <c r="I4583" s="3"/>
      <c r="J4583" s="3"/>
      <c r="K4583" s="3"/>
      <c r="L4583" s="3"/>
    </row>
    <row r="4584" spans="2:12" x14ac:dyDescent="0.3">
      <c r="B4584" s="1"/>
      <c r="C4584" s="1"/>
      <c r="I4584" s="3"/>
      <c r="J4584" s="3"/>
      <c r="K4584" s="3"/>
      <c r="L4584" s="3"/>
    </row>
    <row r="4585" spans="2:12" x14ac:dyDescent="0.3">
      <c r="B4585" s="1"/>
      <c r="C4585" s="1"/>
      <c r="I4585" s="3"/>
      <c r="J4585" s="3"/>
      <c r="K4585" s="3"/>
      <c r="L4585" s="3"/>
    </row>
    <row r="4586" spans="2:12" x14ac:dyDescent="0.3">
      <c r="B4586" s="1"/>
      <c r="C4586" s="1"/>
      <c r="I4586" s="3"/>
      <c r="J4586" s="3"/>
      <c r="K4586" s="3"/>
      <c r="L4586" s="3"/>
    </row>
    <row r="4587" spans="2:12" x14ac:dyDescent="0.3">
      <c r="B4587" s="1"/>
      <c r="C4587" s="1"/>
      <c r="I4587" s="3"/>
      <c r="J4587" s="3"/>
      <c r="K4587" s="3"/>
      <c r="L4587" s="3"/>
    </row>
    <row r="4588" spans="2:12" x14ac:dyDescent="0.3">
      <c r="B4588" s="1"/>
      <c r="C4588" s="1"/>
      <c r="I4588" s="3"/>
      <c r="J4588" s="3"/>
      <c r="K4588" s="3"/>
      <c r="L4588" s="3"/>
    </row>
    <row r="4589" spans="2:12" x14ac:dyDescent="0.3">
      <c r="B4589" s="1"/>
      <c r="C4589" s="1"/>
      <c r="I4589" s="3"/>
      <c r="J4589" s="3"/>
      <c r="K4589" s="3"/>
      <c r="L4589" s="3"/>
    </row>
    <row r="4590" spans="2:12" x14ac:dyDescent="0.3">
      <c r="B4590" s="1"/>
      <c r="C4590" s="1"/>
      <c r="I4590" s="3"/>
      <c r="J4590" s="3"/>
      <c r="K4590" s="3"/>
      <c r="L4590" s="3"/>
    </row>
    <row r="4591" spans="2:12" x14ac:dyDescent="0.3">
      <c r="B4591" s="1"/>
      <c r="C4591" s="1"/>
      <c r="I4591" s="3"/>
      <c r="J4591" s="3"/>
      <c r="K4591" s="3"/>
      <c r="L4591" s="3"/>
    </row>
    <row r="4592" spans="2:12" x14ac:dyDescent="0.3">
      <c r="B4592" s="1"/>
      <c r="C4592" s="1"/>
      <c r="I4592" s="3"/>
      <c r="J4592" s="3"/>
      <c r="K4592" s="3"/>
      <c r="L4592" s="3"/>
    </row>
    <row r="4593" spans="2:12" x14ac:dyDescent="0.3">
      <c r="B4593" s="1"/>
      <c r="C4593" s="1"/>
      <c r="I4593" s="3"/>
      <c r="J4593" s="3"/>
      <c r="K4593" s="3"/>
      <c r="L4593" s="3"/>
    </row>
    <row r="4594" spans="2:12" x14ac:dyDescent="0.3">
      <c r="B4594" s="1"/>
      <c r="C4594" s="1"/>
      <c r="I4594" s="3"/>
      <c r="J4594" s="3"/>
      <c r="K4594" s="3"/>
      <c r="L4594" s="3"/>
    </row>
    <row r="4595" spans="2:12" x14ac:dyDescent="0.3">
      <c r="B4595" s="1"/>
      <c r="C4595" s="1"/>
      <c r="I4595" s="3"/>
      <c r="J4595" s="3"/>
      <c r="K4595" s="3"/>
      <c r="L4595" s="3"/>
    </row>
    <row r="4596" spans="2:12" x14ac:dyDescent="0.3">
      <c r="B4596" s="1"/>
      <c r="C4596" s="1"/>
      <c r="I4596" s="3"/>
      <c r="J4596" s="3"/>
      <c r="K4596" s="3"/>
      <c r="L4596" s="3"/>
    </row>
    <row r="4597" spans="2:12" x14ac:dyDescent="0.3">
      <c r="B4597" s="1"/>
      <c r="C4597" s="1"/>
      <c r="I4597" s="3"/>
      <c r="J4597" s="3"/>
      <c r="K4597" s="3"/>
      <c r="L4597" s="3"/>
    </row>
    <row r="4598" spans="2:12" x14ac:dyDescent="0.3">
      <c r="B4598" s="1"/>
      <c r="C4598" s="1"/>
      <c r="I4598" s="3"/>
      <c r="J4598" s="3"/>
      <c r="K4598" s="3"/>
      <c r="L4598" s="3"/>
    </row>
    <row r="4599" spans="2:12" x14ac:dyDescent="0.3">
      <c r="B4599" s="1"/>
      <c r="C4599" s="1"/>
      <c r="I4599" s="3"/>
      <c r="J4599" s="3"/>
      <c r="K4599" s="3"/>
      <c r="L4599" s="3"/>
    </row>
    <row r="4600" spans="2:12" x14ac:dyDescent="0.3">
      <c r="B4600" s="1"/>
      <c r="C4600" s="1"/>
      <c r="I4600" s="3"/>
      <c r="J4600" s="3"/>
      <c r="K4600" s="3"/>
      <c r="L4600" s="3"/>
    </row>
    <row r="4601" spans="2:12" x14ac:dyDescent="0.3">
      <c r="B4601" s="1"/>
      <c r="C4601" s="1"/>
      <c r="I4601" s="3"/>
      <c r="J4601" s="3"/>
      <c r="K4601" s="3"/>
      <c r="L4601" s="3"/>
    </row>
    <row r="4602" spans="2:12" x14ac:dyDescent="0.3">
      <c r="B4602" s="1"/>
      <c r="C4602" s="1"/>
      <c r="I4602" s="3"/>
      <c r="J4602" s="3"/>
      <c r="K4602" s="3"/>
      <c r="L4602" s="3"/>
    </row>
    <row r="4603" spans="2:12" x14ac:dyDescent="0.3">
      <c r="B4603" s="1"/>
      <c r="C4603" s="1"/>
      <c r="I4603" s="3"/>
      <c r="J4603" s="3"/>
      <c r="K4603" s="3"/>
      <c r="L4603" s="3"/>
    </row>
    <row r="4604" spans="2:12" x14ac:dyDescent="0.3">
      <c r="B4604" s="1"/>
      <c r="C4604" s="1"/>
      <c r="I4604" s="3"/>
      <c r="J4604" s="3"/>
      <c r="K4604" s="3"/>
      <c r="L4604" s="3"/>
    </row>
    <row r="4605" spans="2:12" x14ac:dyDescent="0.3">
      <c r="B4605" s="1"/>
      <c r="C4605" s="1"/>
      <c r="I4605" s="3"/>
      <c r="J4605" s="3"/>
      <c r="K4605" s="3"/>
      <c r="L4605" s="3"/>
    </row>
    <row r="4606" spans="2:12" x14ac:dyDescent="0.3">
      <c r="B4606" s="1"/>
      <c r="C4606" s="1"/>
      <c r="I4606" s="3"/>
      <c r="J4606" s="3"/>
      <c r="K4606" s="3"/>
      <c r="L4606" s="3"/>
    </row>
    <row r="4607" spans="2:12" x14ac:dyDescent="0.3">
      <c r="B4607" s="1"/>
      <c r="C4607" s="1"/>
      <c r="I4607" s="3"/>
      <c r="J4607" s="3"/>
      <c r="K4607" s="3"/>
      <c r="L4607" s="3"/>
    </row>
    <row r="4608" spans="2:12" x14ac:dyDescent="0.3">
      <c r="B4608" s="1"/>
      <c r="C4608" s="1"/>
      <c r="I4608" s="3"/>
      <c r="J4608" s="3"/>
      <c r="K4608" s="3"/>
      <c r="L4608" s="3"/>
    </row>
    <row r="4609" spans="2:12" x14ac:dyDescent="0.3">
      <c r="B4609" s="1"/>
      <c r="C4609" s="1"/>
      <c r="I4609" s="3"/>
      <c r="J4609" s="3"/>
      <c r="K4609" s="3"/>
      <c r="L4609" s="3"/>
    </row>
    <row r="4610" spans="2:12" x14ac:dyDescent="0.3">
      <c r="B4610" s="1"/>
      <c r="C4610" s="1"/>
      <c r="I4610" s="3"/>
      <c r="J4610" s="3"/>
      <c r="K4610" s="3"/>
      <c r="L4610" s="3"/>
    </row>
    <row r="4611" spans="2:12" x14ac:dyDescent="0.3">
      <c r="B4611" s="1"/>
      <c r="C4611" s="1"/>
      <c r="I4611" s="3"/>
      <c r="J4611" s="3"/>
      <c r="K4611" s="3"/>
      <c r="L4611" s="3"/>
    </row>
    <row r="4612" spans="2:12" x14ac:dyDescent="0.3">
      <c r="B4612" s="1"/>
      <c r="C4612" s="1"/>
      <c r="I4612" s="3"/>
      <c r="J4612" s="3"/>
      <c r="K4612" s="3"/>
      <c r="L4612" s="3"/>
    </row>
    <row r="4613" spans="2:12" x14ac:dyDescent="0.3">
      <c r="B4613" s="1"/>
      <c r="C4613" s="1"/>
      <c r="I4613" s="3"/>
      <c r="J4613" s="3"/>
      <c r="K4613" s="3"/>
      <c r="L4613" s="3"/>
    </row>
    <row r="4614" spans="2:12" x14ac:dyDescent="0.3">
      <c r="B4614" s="1"/>
      <c r="C4614" s="1"/>
      <c r="I4614" s="3"/>
      <c r="J4614" s="3"/>
      <c r="K4614" s="3"/>
      <c r="L4614" s="3"/>
    </row>
    <row r="4615" spans="2:12" x14ac:dyDescent="0.3">
      <c r="B4615" s="1"/>
      <c r="C4615" s="1"/>
      <c r="I4615" s="3"/>
      <c r="J4615" s="3"/>
      <c r="K4615" s="3"/>
      <c r="L4615" s="3"/>
    </row>
    <row r="4616" spans="2:12" x14ac:dyDescent="0.3">
      <c r="B4616" s="1"/>
      <c r="C4616" s="1"/>
      <c r="I4616" s="3"/>
      <c r="J4616" s="3"/>
      <c r="K4616" s="3"/>
      <c r="L4616" s="3"/>
    </row>
    <row r="4617" spans="2:12" x14ac:dyDescent="0.3">
      <c r="B4617" s="1"/>
      <c r="C4617" s="1"/>
      <c r="I4617" s="3"/>
      <c r="J4617" s="3"/>
      <c r="K4617" s="3"/>
      <c r="L4617" s="3"/>
    </row>
    <row r="4618" spans="2:12" x14ac:dyDescent="0.3">
      <c r="B4618" s="1"/>
      <c r="C4618" s="1"/>
      <c r="I4618" s="3"/>
      <c r="J4618" s="3"/>
      <c r="K4618" s="3"/>
      <c r="L4618" s="3"/>
    </row>
    <row r="4619" spans="2:12" x14ac:dyDescent="0.3">
      <c r="B4619" s="1"/>
      <c r="C4619" s="1"/>
      <c r="I4619" s="3"/>
      <c r="J4619" s="3"/>
      <c r="K4619" s="3"/>
      <c r="L4619" s="3"/>
    </row>
    <row r="4620" spans="2:12" x14ac:dyDescent="0.3">
      <c r="B4620" s="1"/>
      <c r="C4620" s="1"/>
      <c r="I4620" s="3"/>
      <c r="J4620" s="3"/>
      <c r="K4620" s="3"/>
      <c r="L4620" s="3"/>
    </row>
    <row r="4621" spans="2:12" x14ac:dyDescent="0.3">
      <c r="B4621" s="1"/>
      <c r="C4621" s="1"/>
      <c r="I4621" s="3"/>
      <c r="J4621" s="3"/>
      <c r="K4621" s="3"/>
      <c r="L4621" s="3"/>
    </row>
    <row r="4622" spans="2:12" x14ac:dyDescent="0.3">
      <c r="B4622" s="1"/>
      <c r="C4622" s="1"/>
      <c r="I4622" s="3"/>
      <c r="J4622" s="3"/>
      <c r="K4622" s="3"/>
      <c r="L4622" s="3"/>
    </row>
    <row r="4623" spans="2:12" x14ac:dyDescent="0.3">
      <c r="B4623" s="1"/>
      <c r="C4623" s="1"/>
      <c r="I4623" s="3"/>
      <c r="J4623" s="3"/>
      <c r="K4623" s="3"/>
      <c r="L4623" s="3"/>
    </row>
    <row r="4624" spans="2:12" x14ac:dyDescent="0.3">
      <c r="B4624" s="1"/>
      <c r="C4624" s="1"/>
      <c r="I4624" s="3"/>
      <c r="J4624" s="3"/>
      <c r="K4624" s="3"/>
      <c r="L4624" s="3"/>
    </row>
    <row r="4625" spans="2:12" x14ac:dyDescent="0.3">
      <c r="B4625" s="1"/>
      <c r="C4625" s="1"/>
      <c r="I4625" s="3"/>
      <c r="J4625" s="3"/>
      <c r="K4625" s="3"/>
      <c r="L4625" s="3"/>
    </row>
    <row r="4626" spans="2:12" x14ac:dyDescent="0.3">
      <c r="B4626" s="1"/>
      <c r="C4626" s="1"/>
      <c r="I4626" s="3"/>
      <c r="J4626" s="3"/>
      <c r="K4626" s="3"/>
      <c r="L4626" s="3"/>
    </row>
    <row r="4627" spans="2:12" x14ac:dyDescent="0.3">
      <c r="B4627" s="1"/>
      <c r="C4627" s="1"/>
      <c r="I4627" s="3"/>
      <c r="J4627" s="3"/>
      <c r="K4627" s="3"/>
      <c r="L4627" s="3"/>
    </row>
    <row r="4628" spans="2:12" x14ac:dyDescent="0.3">
      <c r="B4628" s="1"/>
      <c r="C4628" s="1"/>
      <c r="I4628" s="3"/>
      <c r="J4628" s="3"/>
      <c r="K4628" s="3"/>
      <c r="L4628" s="3"/>
    </row>
    <row r="4629" spans="2:12" x14ac:dyDescent="0.3">
      <c r="B4629" s="1"/>
      <c r="C4629" s="1"/>
      <c r="I4629" s="3"/>
      <c r="J4629" s="3"/>
      <c r="K4629" s="3"/>
      <c r="L4629" s="3"/>
    </row>
    <row r="4630" spans="2:12" x14ac:dyDescent="0.3">
      <c r="B4630" s="1"/>
      <c r="C4630" s="1"/>
      <c r="I4630" s="3"/>
      <c r="J4630" s="3"/>
      <c r="K4630" s="3"/>
      <c r="L4630" s="3"/>
    </row>
    <row r="4631" spans="2:12" x14ac:dyDescent="0.3">
      <c r="B4631" s="1"/>
      <c r="C4631" s="1"/>
      <c r="I4631" s="3"/>
      <c r="J4631" s="3"/>
      <c r="K4631" s="3"/>
      <c r="L4631" s="3"/>
    </row>
    <row r="4632" spans="2:12" x14ac:dyDescent="0.3">
      <c r="B4632" s="1"/>
      <c r="C4632" s="1"/>
      <c r="I4632" s="3"/>
      <c r="J4632" s="3"/>
      <c r="K4632" s="3"/>
      <c r="L4632" s="3"/>
    </row>
    <row r="4633" spans="2:12" x14ac:dyDescent="0.3">
      <c r="B4633" s="1"/>
      <c r="C4633" s="1"/>
      <c r="I4633" s="3"/>
      <c r="J4633" s="3"/>
      <c r="K4633" s="3"/>
      <c r="L4633" s="3"/>
    </row>
    <row r="4634" spans="2:12" x14ac:dyDescent="0.3">
      <c r="B4634" s="1"/>
      <c r="C4634" s="1"/>
      <c r="I4634" s="3"/>
      <c r="J4634" s="3"/>
      <c r="K4634" s="3"/>
      <c r="L4634" s="3"/>
    </row>
    <row r="4635" spans="2:12" x14ac:dyDescent="0.3">
      <c r="B4635" s="1"/>
      <c r="C4635" s="1"/>
      <c r="I4635" s="3"/>
      <c r="J4635" s="3"/>
      <c r="K4635" s="3"/>
      <c r="L4635" s="3"/>
    </row>
    <row r="4636" spans="2:12" x14ac:dyDescent="0.3">
      <c r="B4636" s="1"/>
      <c r="C4636" s="1"/>
      <c r="I4636" s="3"/>
      <c r="J4636" s="3"/>
      <c r="K4636" s="3"/>
      <c r="L4636" s="3"/>
    </row>
    <row r="4637" spans="2:12" x14ac:dyDescent="0.3">
      <c r="B4637" s="1"/>
      <c r="C4637" s="1"/>
      <c r="I4637" s="3"/>
      <c r="J4637" s="3"/>
      <c r="K4637" s="3"/>
      <c r="L4637" s="3"/>
    </row>
    <row r="4638" spans="2:12" x14ac:dyDescent="0.3">
      <c r="B4638" s="1"/>
      <c r="C4638" s="1"/>
      <c r="I4638" s="3"/>
      <c r="J4638" s="3"/>
      <c r="K4638" s="3"/>
      <c r="L4638" s="3"/>
    </row>
    <row r="4639" spans="2:12" x14ac:dyDescent="0.3">
      <c r="B4639" s="1"/>
      <c r="C4639" s="1"/>
      <c r="I4639" s="3"/>
      <c r="J4639" s="3"/>
      <c r="K4639" s="3"/>
      <c r="L4639" s="3"/>
    </row>
    <row r="4640" spans="2:12" x14ac:dyDescent="0.3">
      <c r="B4640" s="1"/>
      <c r="C4640" s="1"/>
      <c r="I4640" s="3"/>
      <c r="J4640" s="3"/>
      <c r="K4640" s="3"/>
      <c r="L4640" s="3"/>
    </row>
    <row r="4641" spans="2:12" x14ac:dyDescent="0.3">
      <c r="B4641" s="1"/>
      <c r="C4641" s="1"/>
      <c r="I4641" s="3"/>
      <c r="J4641" s="3"/>
      <c r="K4641" s="3"/>
      <c r="L4641" s="3"/>
    </row>
    <row r="4642" spans="2:12" x14ac:dyDescent="0.3">
      <c r="B4642" s="1"/>
      <c r="C4642" s="1"/>
      <c r="I4642" s="3"/>
      <c r="J4642" s="3"/>
      <c r="K4642" s="3"/>
      <c r="L4642" s="3"/>
    </row>
    <row r="4643" spans="2:12" x14ac:dyDescent="0.3">
      <c r="B4643" s="1"/>
      <c r="C4643" s="1"/>
      <c r="I4643" s="3"/>
      <c r="J4643" s="3"/>
      <c r="K4643" s="3"/>
      <c r="L4643" s="3"/>
    </row>
    <row r="4644" spans="2:12" x14ac:dyDescent="0.3">
      <c r="B4644" s="1"/>
      <c r="C4644" s="1"/>
      <c r="I4644" s="3"/>
      <c r="J4644" s="3"/>
      <c r="K4644" s="3"/>
      <c r="L4644" s="3"/>
    </row>
    <row r="4645" spans="2:12" x14ac:dyDescent="0.3">
      <c r="B4645" s="1"/>
      <c r="C4645" s="1"/>
      <c r="I4645" s="3"/>
      <c r="J4645" s="3"/>
      <c r="K4645" s="3"/>
      <c r="L4645" s="3"/>
    </row>
    <row r="4646" spans="2:12" x14ac:dyDescent="0.3">
      <c r="B4646" s="1"/>
      <c r="C4646" s="1"/>
      <c r="I4646" s="3"/>
      <c r="J4646" s="3"/>
      <c r="K4646" s="3"/>
      <c r="L4646" s="3"/>
    </row>
    <row r="4647" spans="2:12" x14ac:dyDescent="0.3">
      <c r="B4647" s="1"/>
      <c r="C4647" s="1"/>
      <c r="I4647" s="3"/>
      <c r="J4647" s="3"/>
      <c r="K4647" s="3"/>
      <c r="L4647" s="3"/>
    </row>
    <row r="4648" spans="2:12" x14ac:dyDescent="0.3">
      <c r="B4648" s="1"/>
      <c r="C4648" s="1"/>
      <c r="I4648" s="3"/>
      <c r="J4648" s="3"/>
      <c r="K4648" s="3"/>
      <c r="L4648" s="3"/>
    </row>
    <row r="4649" spans="2:12" x14ac:dyDescent="0.3">
      <c r="B4649" s="1"/>
      <c r="C4649" s="1"/>
      <c r="I4649" s="3"/>
      <c r="J4649" s="3"/>
      <c r="K4649" s="3"/>
      <c r="L4649" s="3"/>
    </row>
    <row r="4650" spans="2:12" x14ac:dyDescent="0.3">
      <c r="B4650" s="1"/>
      <c r="C4650" s="1"/>
      <c r="I4650" s="3"/>
      <c r="J4650" s="3"/>
      <c r="K4650" s="3"/>
      <c r="L4650" s="3"/>
    </row>
    <row r="4651" spans="2:12" x14ac:dyDescent="0.3">
      <c r="B4651" s="1"/>
      <c r="C4651" s="1"/>
      <c r="I4651" s="3"/>
      <c r="J4651" s="3"/>
      <c r="K4651" s="3"/>
      <c r="L4651" s="3"/>
    </row>
    <row r="4652" spans="2:12" x14ac:dyDescent="0.3">
      <c r="B4652" s="1"/>
      <c r="C4652" s="1"/>
      <c r="I4652" s="3"/>
      <c r="J4652" s="3"/>
      <c r="K4652" s="3"/>
      <c r="L4652" s="3"/>
    </row>
    <row r="4653" spans="2:12" x14ac:dyDescent="0.3">
      <c r="B4653" s="1"/>
      <c r="C4653" s="1"/>
      <c r="I4653" s="3"/>
      <c r="J4653" s="3"/>
      <c r="K4653" s="3"/>
      <c r="L4653" s="3"/>
    </row>
    <row r="4654" spans="2:12" x14ac:dyDescent="0.3">
      <c r="B4654" s="1"/>
      <c r="C4654" s="1"/>
      <c r="I4654" s="3"/>
      <c r="J4654" s="3"/>
      <c r="K4654" s="3"/>
      <c r="L4654" s="3"/>
    </row>
    <row r="4655" spans="2:12" x14ac:dyDescent="0.3">
      <c r="B4655" s="1"/>
      <c r="C4655" s="1"/>
      <c r="I4655" s="3"/>
      <c r="J4655" s="3"/>
      <c r="K4655" s="3"/>
      <c r="L4655" s="3"/>
    </row>
    <row r="4656" spans="2:12" x14ac:dyDescent="0.3">
      <c r="B4656" s="1"/>
      <c r="C4656" s="1"/>
      <c r="I4656" s="3"/>
      <c r="J4656" s="3"/>
      <c r="K4656" s="3"/>
      <c r="L4656" s="3"/>
    </row>
    <row r="4657" spans="2:12" x14ac:dyDescent="0.3">
      <c r="B4657" s="1"/>
      <c r="C4657" s="1"/>
      <c r="I4657" s="3"/>
      <c r="J4657" s="3"/>
      <c r="K4657" s="3"/>
      <c r="L4657" s="3"/>
    </row>
    <row r="4658" spans="2:12" x14ac:dyDescent="0.3">
      <c r="B4658" s="1"/>
      <c r="C4658" s="1"/>
      <c r="I4658" s="3"/>
      <c r="J4658" s="3"/>
      <c r="K4658" s="3"/>
      <c r="L4658" s="3"/>
    </row>
    <row r="4659" spans="2:12" x14ac:dyDescent="0.3">
      <c r="B4659" s="1"/>
      <c r="C4659" s="1"/>
      <c r="I4659" s="3"/>
      <c r="J4659" s="3"/>
      <c r="K4659" s="3"/>
      <c r="L4659" s="3"/>
    </row>
    <row r="4660" spans="2:12" x14ac:dyDescent="0.3">
      <c r="B4660" s="1"/>
      <c r="C4660" s="1"/>
      <c r="I4660" s="3"/>
      <c r="J4660" s="3"/>
      <c r="K4660" s="3"/>
      <c r="L4660" s="3"/>
    </row>
    <row r="4661" spans="2:12" x14ac:dyDescent="0.3">
      <c r="B4661" s="1"/>
      <c r="C4661" s="1"/>
      <c r="I4661" s="3"/>
      <c r="J4661" s="3"/>
      <c r="K4661" s="3"/>
      <c r="L4661" s="3"/>
    </row>
    <row r="4662" spans="2:12" x14ac:dyDescent="0.3">
      <c r="B4662" s="1"/>
      <c r="C4662" s="1"/>
      <c r="I4662" s="3"/>
      <c r="J4662" s="3"/>
      <c r="K4662" s="3"/>
      <c r="L4662" s="3"/>
    </row>
    <row r="4663" spans="2:12" x14ac:dyDescent="0.3">
      <c r="B4663" s="1"/>
      <c r="C4663" s="1"/>
      <c r="I4663" s="3"/>
      <c r="J4663" s="3"/>
      <c r="K4663" s="3"/>
      <c r="L4663" s="3"/>
    </row>
    <row r="4664" spans="2:12" x14ac:dyDescent="0.3">
      <c r="B4664" s="1"/>
      <c r="C4664" s="1"/>
      <c r="I4664" s="3"/>
      <c r="J4664" s="3"/>
      <c r="K4664" s="3"/>
      <c r="L4664" s="3"/>
    </row>
    <row r="4665" spans="2:12" x14ac:dyDescent="0.3">
      <c r="B4665" s="1"/>
      <c r="C4665" s="1"/>
      <c r="I4665" s="3"/>
      <c r="J4665" s="3"/>
      <c r="K4665" s="3"/>
      <c r="L4665" s="3"/>
    </row>
    <row r="4666" spans="2:12" x14ac:dyDescent="0.3">
      <c r="B4666" s="1"/>
      <c r="C4666" s="1"/>
      <c r="I4666" s="3"/>
      <c r="J4666" s="3"/>
      <c r="K4666" s="3"/>
      <c r="L4666" s="3"/>
    </row>
    <row r="4667" spans="2:12" x14ac:dyDescent="0.3">
      <c r="B4667" s="1"/>
      <c r="C4667" s="1"/>
      <c r="I4667" s="3"/>
      <c r="J4667" s="3"/>
      <c r="K4667" s="3"/>
      <c r="L4667" s="3"/>
    </row>
    <row r="4668" spans="2:12" x14ac:dyDescent="0.3">
      <c r="B4668" s="1"/>
      <c r="C4668" s="1"/>
      <c r="I4668" s="3"/>
      <c r="J4668" s="3"/>
      <c r="K4668" s="3"/>
      <c r="L4668" s="3"/>
    </row>
    <row r="4669" spans="2:12" x14ac:dyDescent="0.3">
      <c r="B4669" s="1"/>
      <c r="C4669" s="1"/>
      <c r="I4669" s="3"/>
      <c r="J4669" s="3"/>
      <c r="K4669" s="3"/>
      <c r="L4669" s="3"/>
    </row>
    <row r="4670" spans="2:12" x14ac:dyDescent="0.3">
      <c r="B4670" s="1"/>
      <c r="C4670" s="1"/>
      <c r="I4670" s="3"/>
      <c r="J4670" s="3"/>
      <c r="K4670" s="3"/>
      <c r="L4670" s="3"/>
    </row>
    <row r="4671" spans="2:12" x14ac:dyDescent="0.3">
      <c r="B4671" s="1"/>
      <c r="C4671" s="1"/>
      <c r="I4671" s="3"/>
      <c r="J4671" s="3"/>
      <c r="K4671" s="3"/>
      <c r="L4671" s="3"/>
    </row>
    <row r="4672" spans="2:12" x14ac:dyDescent="0.3">
      <c r="B4672" s="1"/>
      <c r="C4672" s="1"/>
      <c r="I4672" s="3"/>
      <c r="J4672" s="3"/>
      <c r="K4672" s="3"/>
      <c r="L4672" s="3"/>
    </row>
    <row r="4673" spans="2:12" x14ac:dyDescent="0.3">
      <c r="B4673" s="1"/>
      <c r="C4673" s="1"/>
      <c r="I4673" s="3"/>
      <c r="J4673" s="3"/>
      <c r="K4673" s="3"/>
      <c r="L4673" s="3"/>
    </row>
    <row r="4674" spans="2:12" x14ac:dyDescent="0.3">
      <c r="B4674" s="1"/>
      <c r="C4674" s="1"/>
      <c r="I4674" s="3"/>
      <c r="J4674" s="3"/>
      <c r="K4674" s="3"/>
      <c r="L4674" s="3"/>
    </row>
    <row r="4675" spans="2:12" x14ac:dyDescent="0.3">
      <c r="B4675" s="1"/>
      <c r="C4675" s="1"/>
      <c r="I4675" s="3"/>
      <c r="J4675" s="3"/>
      <c r="K4675" s="3"/>
      <c r="L4675" s="3"/>
    </row>
    <row r="4676" spans="2:12" x14ac:dyDescent="0.3">
      <c r="B4676" s="1"/>
      <c r="C4676" s="1"/>
      <c r="I4676" s="3"/>
      <c r="J4676" s="3"/>
      <c r="K4676" s="3"/>
      <c r="L4676" s="3"/>
    </row>
    <row r="4677" spans="2:12" x14ac:dyDescent="0.3">
      <c r="B4677" s="1"/>
      <c r="C4677" s="1"/>
      <c r="I4677" s="3"/>
      <c r="J4677" s="3"/>
      <c r="K4677" s="3"/>
      <c r="L4677" s="3"/>
    </row>
    <row r="4678" spans="2:12" x14ac:dyDescent="0.3">
      <c r="B4678" s="1"/>
      <c r="C4678" s="1"/>
      <c r="I4678" s="3"/>
      <c r="J4678" s="3"/>
      <c r="K4678" s="3"/>
      <c r="L4678" s="3"/>
    </row>
    <row r="4679" spans="2:12" x14ac:dyDescent="0.3">
      <c r="B4679" s="1"/>
      <c r="C4679" s="1"/>
      <c r="I4679" s="3"/>
      <c r="J4679" s="3"/>
      <c r="K4679" s="3"/>
      <c r="L4679" s="3"/>
    </row>
    <row r="4680" spans="2:12" x14ac:dyDescent="0.3">
      <c r="B4680" s="1"/>
      <c r="C4680" s="1"/>
      <c r="I4680" s="3"/>
      <c r="J4680" s="3"/>
      <c r="K4680" s="3"/>
      <c r="L4680" s="3"/>
    </row>
    <row r="4681" spans="2:12" x14ac:dyDescent="0.3">
      <c r="B4681" s="1"/>
      <c r="C4681" s="1"/>
      <c r="I4681" s="3"/>
      <c r="J4681" s="3"/>
      <c r="K4681" s="3"/>
      <c r="L4681" s="3"/>
    </row>
    <row r="4682" spans="2:12" x14ac:dyDescent="0.3">
      <c r="B4682" s="1"/>
      <c r="C4682" s="1"/>
      <c r="I4682" s="3"/>
      <c r="J4682" s="3"/>
      <c r="K4682" s="3"/>
      <c r="L4682" s="3"/>
    </row>
    <row r="4683" spans="2:12" x14ac:dyDescent="0.3">
      <c r="B4683" s="1"/>
      <c r="C4683" s="1"/>
      <c r="I4683" s="3"/>
      <c r="J4683" s="3"/>
      <c r="K4683" s="3"/>
      <c r="L4683" s="3"/>
    </row>
    <row r="4684" spans="2:12" x14ac:dyDescent="0.3">
      <c r="B4684" s="1"/>
      <c r="C4684" s="1"/>
      <c r="I4684" s="3"/>
      <c r="J4684" s="3"/>
      <c r="K4684" s="3"/>
      <c r="L4684" s="3"/>
    </row>
    <row r="4685" spans="2:12" x14ac:dyDescent="0.3">
      <c r="B4685" s="1"/>
      <c r="C4685" s="1"/>
      <c r="I4685" s="3"/>
      <c r="J4685" s="3"/>
      <c r="K4685" s="3"/>
      <c r="L4685" s="3"/>
    </row>
    <row r="4686" spans="2:12" x14ac:dyDescent="0.3">
      <c r="B4686" s="1"/>
      <c r="C4686" s="1"/>
      <c r="I4686" s="3"/>
      <c r="J4686" s="3"/>
      <c r="K4686" s="3"/>
      <c r="L4686" s="3"/>
    </row>
    <row r="4687" spans="2:12" x14ac:dyDescent="0.3">
      <c r="B4687" s="1"/>
      <c r="C4687" s="1"/>
      <c r="I4687" s="3"/>
      <c r="J4687" s="3"/>
      <c r="K4687" s="3"/>
      <c r="L4687" s="3"/>
    </row>
    <row r="4688" spans="2:12" x14ac:dyDescent="0.3">
      <c r="B4688" s="1"/>
      <c r="C4688" s="1"/>
      <c r="I4688" s="3"/>
      <c r="J4688" s="3"/>
      <c r="K4688" s="3"/>
      <c r="L4688" s="3"/>
    </row>
    <row r="4689" spans="2:12" x14ac:dyDescent="0.3">
      <c r="B4689" s="1"/>
      <c r="C4689" s="1"/>
      <c r="I4689" s="3"/>
      <c r="J4689" s="3"/>
      <c r="K4689" s="3"/>
      <c r="L4689" s="3"/>
    </row>
    <row r="4690" spans="2:12" x14ac:dyDescent="0.3">
      <c r="B4690" s="1"/>
      <c r="C4690" s="1"/>
      <c r="I4690" s="3"/>
      <c r="J4690" s="3"/>
      <c r="K4690" s="3"/>
      <c r="L4690" s="3"/>
    </row>
    <row r="4691" spans="2:12" x14ac:dyDescent="0.3">
      <c r="B4691" s="1"/>
      <c r="C4691" s="1"/>
      <c r="I4691" s="3"/>
      <c r="J4691" s="3"/>
      <c r="K4691" s="3"/>
      <c r="L4691" s="3"/>
    </row>
    <row r="4692" spans="2:12" x14ac:dyDescent="0.3">
      <c r="B4692" s="1"/>
      <c r="C4692" s="1"/>
      <c r="I4692" s="3"/>
      <c r="J4692" s="3"/>
      <c r="K4692" s="3"/>
      <c r="L4692" s="3"/>
    </row>
    <row r="4693" spans="2:12" x14ac:dyDescent="0.3">
      <c r="B4693" s="1"/>
      <c r="C4693" s="1"/>
      <c r="I4693" s="3"/>
      <c r="J4693" s="3"/>
      <c r="K4693" s="3"/>
      <c r="L4693" s="3"/>
    </row>
    <row r="4694" spans="2:12" x14ac:dyDescent="0.3">
      <c r="B4694" s="1"/>
      <c r="C4694" s="1"/>
      <c r="I4694" s="3"/>
      <c r="J4694" s="3"/>
      <c r="K4694" s="3"/>
      <c r="L4694" s="3"/>
    </row>
    <row r="4695" spans="2:12" x14ac:dyDescent="0.3">
      <c r="B4695" s="1"/>
      <c r="C4695" s="1"/>
      <c r="I4695" s="3"/>
      <c r="J4695" s="3"/>
      <c r="K4695" s="3"/>
      <c r="L4695" s="3"/>
    </row>
    <row r="4696" spans="2:12" x14ac:dyDescent="0.3">
      <c r="B4696" s="1"/>
      <c r="C4696" s="1"/>
      <c r="I4696" s="3"/>
      <c r="J4696" s="3"/>
      <c r="K4696" s="3"/>
      <c r="L4696" s="3"/>
    </row>
    <row r="4697" spans="2:12" x14ac:dyDescent="0.3">
      <c r="B4697" s="1"/>
      <c r="C4697" s="1"/>
      <c r="I4697" s="3"/>
      <c r="J4697" s="3"/>
      <c r="K4697" s="3"/>
      <c r="L4697" s="3"/>
    </row>
    <row r="4698" spans="2:12" x14ac:dyDescent="0.3">
      <c r="B4698" s="1"/>
      <c r="C4698" s="1"/>
      <c r="I4698" s="3"/>
      <c r="J4698" s="3"/>
      <c r="K4698" s="3"/>
      <c r="L4698" s="3"/>
    </row>
    <row r="4699" spans="2:12" x14ac:dyDescent="0.3">
      <c r="B4699" s="1"/>
      <c r="C4699" s="1"/>
      <c r="I4699" s="3"/>
      <c r="J4699" s="3"/>
      <c r="K4699" s="3"/>
      <c r="L4699" s="3"/>
    </row>
    <row r="4700" spans="2:12" x14ac:dyDescent="0.3">
      <c r="B4700" s="1"/>
      <c r="C4700" s="1"/>
      <c r="I4700" s="3"/>
      <c r="J4700" s="3"/>
      <c r="K4700" s="3"/>
      <c r="L4700" s="3"/>
    </row>
    <row r="4701" spans="2:12" x14ac:dyDescent="0.3">
      <c r="B4701" s="1"/>
      <c r="C4701" s="1"/>
      <c r="I4701" s="3"/>
      <c r="J4701" s="3"/>
      <c r="K4701" s="3"/>
      <c r="L4701" s="3"/>
    </row>
    <row r="4702" spans="2:12" x14ac:dyDescent="0.3">
      <c r="B4702" s="1"/>
      <c r="C4702" s="1"/>
      <c r="I4702" s="3"/>
      <c r="J4702" s="3"/>
      <c r="K4702" s="3"/>
      <c r="L4702" s="3"/>
    </row>
    <row r="4703" spans="2:12" x14ac:dyDescent="0.3">
      <c r="B4703" s="1"/>
      <c r="C4703" s="1"/>
      <c r="I4703" s="3"/>
      <c r="J4703" s="3"/>
      <c r="K4703" s="3"/>
      <c r="L4703" s="3"/>
    </row>
    <row r="4704" spans="2:12" x14ac:dyDescent="0.3">
      <c r="B4704" s="1"/>
      <c r="C4704" s="1"/>
      <c r="I4704" s="3"/>
      <c r="J4704" s="3"/>
      <c r="K4704" s="3"/>
      <c r="L4704" s="3"/>
    </row>
    <row r="4705" spans="2:12" x14ac:dyDescent="0.3">
      <c r="B4705" s="1"/>
      <c r="C4705" s="1"/>
      <c r="I4705" s="3"/>
      <c r="J4705" s="3"/>
      <c r="K4705" s="3"/>
      <c r="L4705" s="3"/>
    </row>
    <row r="4706" spans="2:12" x14ac:dyDescent="0.3">
      <c r="B4706" s="1"/>
      <c r="C4706" s="1"/>
      <c r="I4706" s="3"/>
      <c r="J4706" s="3"/>
      <c r="K4706" s="3"/>
      <c r="L4706" s="3"/>
    </row>
    <row r="4707" spans="2:12" x14ac:dyDescent="0.3">
      <c r="B4707" s="1"/>
      <c r="C4707" s="1"/>
      <c r="I4707" s="3"/>
      <c r="J4707" s="3"/>
      <c r="K4707" s="3"/>
      <c r="L4707" s="3"/>
    </row>
    <row r="4708" spans="2:12" x14ac:dyDescent="0.3">
      <c r="B4708" s="1"/>
      <c r="C4708" s="1"/>
      <c r="I4708" s="3"/>
      <c r="J4708" s="3"/>
      <c r="K4708" s="3"/>
      <c r="L4708" s="3"/>
    </row>
    <row r="4709" spans="2:12" x14ac:dyDescent="0.3">
      <c r="B4709" s="1"/>
      <c r="C4709" s="1"/>
      <c r="I4709" s="3"/>
      <c r="J4709" s="3"/>
      <c r="K4709" s="3"/>
      <c r="L4709" s="3"/>
    </row>
    <row r="4710" spans="2:12" x14ac:dyDescent="0.3">
      <c r="B4710" s="1"/>
      <c r="C4710" s="1"/>
      <c r="I4710" s="3"/>
      <c r="J4710" s="3"/>
      <c r="K4710" s="3"/>
      <c r="L4710" s="3"/>
    </row>
    <row r="4711" spans="2:12" x14ac:dyDescent="0.3">
      <c r="B4711" s="1"/>
      <c r="C4711" s="1"/>
      <c r="I4711" s="3"/>
      <c r="J4711" s="3"/>
      <c r="K4711" s="3"/>
      <c r="L4711" s="3"/>
    </row>
    <row r="4712" spans="2:12" x14ac:dyDescent="0.3">
      <c r="B4712" s="1"/>
      <c r="C4712" s="1"/>
      <c r="I4712" s="3"/>
      <c r="J4712" s="3"/>
      <c r="K4712" s="3"/>
      <c r="L4712" s="3"/>
    </row>
    <row r="4713" spans="2:12" x14ac:dyDescent="0.3">
      <c r="B4713" s="1"/>
      <c r="C4713" s="1"/>
      <c r="I4713" s="3"/>
      <c r="J4713" s="3"/>
      <c r="K4713" s="3"/>
      <c r="L4713" s="3"/>
    </row>
    <row r="4714" spans="2:12" x14ac:dyDescent="0.3">
      <c r="B4714" s="1"/>
      <c r="C4714" s="1"/>
      <c r="I4714" s="3"/>
      <c r="J4714" s="3"/>
      <c r="K4714" s="3"/>
      <c r="L4714" s="3"/>
    </row>
    <row r="4715" spans="2:12" x14ac:dyDescent="0.3">
      <c r="B4715" s="1"/>
      <c r="C4715" s="1"/>
      <c r="I4715" s="3"/>
      <c r="J4715" s="3"/>
      <c r="K4715" s="3"/>
      <c r="L4715" s="3"/>
    </row>
    <row r="4716" spans="2:12" x14ac:dyDescent="0.3">
      <c r="B4716" s="1"/>
      <c r="C4716" s="1"/>
      <c r="I4716" s="3"/>
      <c r="J4716" s="3"/>
      <c r="K4716" s="3"/>
      <c r="L4716" s="3"/>
    </row>
    <row r="4717" spans="2:12" x14ac:dyDescent="0.3">
      <c r="B4717" s="1"/>
      <c r="C4717" s="1"/>
      <c r="I4717" s="3"/>
      <c r="J4717" s="3"/>
      <c r="K4717" s="3"/>
      <c r="L4717" s="3"/>
    </row>
    <row r="4718" spans="2:12" x14ac:dyDescent="0.3">
      <c r="B4718" s="1"/>
      <c r="C4718" s="1"/>
      <c r="I4718" s="3"/>
      <c r="J4718" s="3"/>
      <c r="K4718" s="3"/>
      <c r="L4718" s="3"/>
    </row>
    <row r="4719" spans="2:12" x14ac:dyDescent="0.3">
      <c r="B4719" s="1"/>
      <c r="C4719" s="1"/>
      <c r="I4719" s="3"/>
      <c r="J4719" s="3"/>
      <c r="K4719" s="3"/>
      <c r="L4719" s="3"/>
    </row>
    <row r="4720" spans="2:12" x14ac:dyDescent="0.3">
      <c r="B4720" s="1"/>
      <c r="C4720" s="1"/>
      <c r="I4720" s="3"/>
      <c r="J4720" s="3"/>
      <c r="K4720" s="3"/>
      <c r="L4720" s="3"/>
    </row>
    <row r="4721" spans="2:12" x14ac:dyDescent="0.3">
      <c r="B4721" s="1"/>
      <c r="C4721" s="1"/>
      <c r="I4721" s="3"/>
      <c r="J4721" s="3"/>
      <c r="K4721" s="3"/>
      <c r="L4721" s="3"/>
    </row>
    <row r="4722" spans="2:12" x14ac:dyDescent="0.3">
      <c r="B4722" s="1"/>
      <c r="C4722" s="1"/>
      <c r="I4722" s="3"/>
      <c r="J4722" s="3"/>
      <c r="K4722" s="3"/>
      <c r="L4722" s="3"/>
    </row>
    <row r="4723" spans="2:12" x14ac:dyDescent="0.3">
      <c r="B4723" s="1"/>
      <c r="C4723" s="1"/>
      <c r="I4723" s="3"/>
      <c r="J4723" s="3"/>
      <c r="K4723" s="3"/>
      <c r="L4723" s="3"/>
    </row>
    <row r="4724" spans="2:12" x14ac:dyDescent="0.3">
      <c r="B4724" s="1"/>
      <c r="C4724" s="1"/>
      <c r="I4724" s="3"/>
      <c r="J4724" s="3"/>
      <c r="K4724" s="3"/>
      <c r="L4724" s="3"/>
    </row>
    <row r="4725" spans="2:12" x14ac:dyDescent="0.3">
      <c r="B4725" s="1"/>
      <c r="C4725" s="1"/>
      <c r="I4725" s="3"/>
      <c r="J4725" s="3"/>
      <c r="K4725" s="3"/>
      <c r="L4725" s="3"/>
    </row>
    <row r="4726" spans="2:12" x14ac:dyDescent="0.3">
      <c r="B4726" s="1"/>
      <c r="C4726" s="1"/>
      <c r="I4726" s="3"/>
      <c r="J4726" s="3"/>
      <c r="K4726" s="3"/>
      <c r="L4726" s="3"/>
    </row>
    <row r="4727" spans="2:12" x14ac:dyDescent="0.3">
      <c r="B4727" s="1"/>
      <c r="C4727" s="1"/>
      <c r="I4727" s="3"/>
      <c r="J4727" s="3"/>
      <c r="K4727" s="3"/>
      <c r="L4727" s="3"/>
    </row>
    <row r="4728" spans="2:12" x14ac:dyDescent="0.3">
      <c r="B4728" s="1"/>
      <c r="C4728" s="1"/>
      <c r="I4728" s="3"/>
      <c r="J4728" s="3"/>
      <c r="K4728" s="3"/>
      <c r="L4728" s="3"/>
    </row>
    <row r="4729" spans="2:12" x14ac:dyDescent="0.3">
      <c r="B4729" s="1"/>
      <c r="C4729" s="1"/>
      <c r="I4729" s="3"/>
      <c r="J4729" s="3"/>
      <c r="K4729" s="3"/>
      <c r="L4729" s="3"/>
    </row>
    <row r="4730" spans="2:12" x14ac:dyDescent="0.3">
      <c r="B4730" s="1"/>
      <c r="C4730" s="1"/>
      <c r="I4730" s="3"/>
      <c r="J4730" s="3"/>
      <c r="K4730" s="3"/>
      <c r="L4730" s="3"/>
    </row>
    <row r="4731" spans="2:12" x14ac:dyDescent="0.3">
      <c r="B4731" s="1"/>
      <c r="C4731" s="1"/>
      <c r="I4731" s="3"/>
      <c r="J4731" s="3"/>
      <c r="K4731" s="3"/>
      <c r="L4731" s="3"/>
    </row>
    <row r="4732" spans="2:12" x14ac:dyDescent="0.3">
      <c r="B4732" s="1"/>
      <c r="C4732" s="1"/>
      <c r="I4732" s="3"/>
      <c r="J4732" s="3"/>
      <c r="K4732" s="3"/>
      <c r="L4732" s="3"/>
    </row>
    <row r="4733" spans="2:12" x14ac:dyDescent="0.3">
      <c r="B4733" s="1"/>
      <c r="C4733" s="1"/>
      <c r="I4733" s="3"/>
      <c r="J4733" s="3"/>
      <c r="K4733" s="3"/>
      <c r="L4733" s="3"/>
    </row>
    <row r="4734" spans="2:12" x14ac:dyDescent="0.3">
      <c r="B4734" s="1"/>
      <c r="C4734" s="1"/>
      <c r="I4734" s="3"/>
      <c r="J4734" s="3"/>
      <c r="K4734" s="3"/>
      <c r="L4734" s="3"/>
    </row>
    <row r="4735" spans="2:12" x14ac:dyDescent="0.3">
      <c r="B4735" s="1"/>
      <c r="C4735" s="1"/>
      <c r="I4735" s="3"/>
      <c r="J4735" s="3"/>
      <c r="K4735" s="3"/>
      <c r="L4735" s="3"/>
    </row>
    <row r="4736" spans="2:12" x14ac:dyDescent="0.3">
      <c r="B4736" s="1"/>
      <c r="C4736" s="1"/>
      <c r="I4736" s="3"/>
      <c r="J4736" s="3"/>
      <c r="K4736" s="3"/>
      <c r="L4736" s="3"/>
    </row>
    <row r="4737" spans="2:12" x14ac:dyDescent="0.3">
      <c r="B4737" s="1"/>
      <c r="C4737" s="1"/>
      <c r="I4737" s="3"/>
      <c r="J4737" s="3"/>
      <c r="K4737" s="3"/>
      <c r="L4737" s="3"/>
    </row>
    <row r="4738" spans="2:12" x14ac:dyDescent="0.3">
      <c r="B4738" s="1"/>
      <c r="C4738" s="1"/>
      <c r="I4738" s="3"/>
      <c r="J4738" s="3"/>
      <c r="K4738" s="3"/>
      <c r="L4738" s="3"/>
    </row>
    <row r="4739" spans="2:12" x14ac:dyDescent="0.3">
      <c r="B4739" s="1"/>
      <c r="C4739" s="1"/>
      <c r="I4739" s="3"/>
      <c r="J4739" s="3"/>
      <c r="K4739" s="3"/>
      <c r="L4739" s="3"/>
    </row>
    <row r="4740" spans="2:12" x14ac:dyDescent="0.3">
      <c r="B4740" s="1"/>
      <c r="C4740" s="1"/>
      <c r="I4740" s="3"/>
      <c r="J4740" s="3"/>
      <c r="K4740" s="3"/>
      <c r="L4740" s="3"/>
    </row>
    <row r="4741" spans="2:12" x14ac:dyDescent="0.3">
      <c r="B4741" s="1"/>
      <c r="C4741" s="1"/>
      <c r="I4741" s="3"/>
      <c r="J4741" s="3"/>
      <c r="K4741" s="3"/>
      <c r="L4741" s="3"/>
    </row>
    <row r="4742" spans="2:12" x14ac:dyDescent="0.3">
      <c r="B4742" s="1"/>
      <c r="C4742" s="1"/>
      <c r="I4742" s="3"/>
      <c r="J4742" s="3"/>
      <c r="K4742" s="3"/>
      <c r="L4742" s="3"/>
    </row>
    <row r="4743" spans="2:12" x14ac:dyDescent="0.3">
      <c r="B4743" s="1"/>
      <c r="C4743" s="1"/>
      <c r="I4743" s="3"/>
      <c r="J4743" s="3"/>
      <c r="K4743" s="3"/>
      <c r="L4743" s="3"/>
    </row>
    <row r="4744" spans="2:12" x14ac:dyDescent="0.3">
      <c r="B4744" s="1"/>
      <c r="C4744" s="1"/>
      <c r="I4744" s="3"/>
      <c r="J4744" s="3"/>
      <c r="K4744" s="3"/>
      <c r="L4744" s="3"/>
    </row>
    <row r="4745" spans="2:12" x14ac:dyDescent="0.3">
      <c r="B4745" s="1"/>
      <c r="C4745" s="1"/>
      <c r="I4745" s="3"/>
      <c r="J4745" s="3"/>
      <c r="K4745" s="3"/>
      <c r="L4745" s="3"/>
    </row>
    <row r="4746" spans="2:12" x14ac:dyDescent="0.3">
      <c r="B4746" s="1"/>
      <c r="C4746" s="1"/>
      <c r="I4746" s="3"/>
      <c r="J4746" s="3"/>
      <c r="K4746" s="3"/>
      <c r="L4746" s="3"/>
    </row>
    <row r="4747" spans="2:12" x14ac:dyDescent="0.3">
      <c r="B4747" s="1"/>
      <c r="C4747" s="1"/>
      <c r="I4747" s="3"/>
      <c r="J4747" s="3"/>
      <c r="K4747" s="3"/>
      <c r="L4747" s="3"/>
    </row>
    <row r="4748" spans="2:12" x14ac:dyDescent="0.3">
      <c r="B4748" s="1"/>
      <c r="C4748" s="1"/>
      <c r="I4748" s="3"/>
      <c r="J4748" s="3"/>
      <c r="K4748" s="3"/>
      <c r="L4748" s="3"/>
    </row>
    <row r="4749" spans="2:12" x14ac:dyDescent="0.3">
      <c r="B4749" s="1"/>
      <c r="C4749" s="1"/>
      <c r="I4749" s="3"/>
      <c r="J4749" s="3"/>
      <c r="K4749" s="3"/>
      <c r="L4749" s="3"/>
    </row>
    <row r="4750" spans="2:12" x14ac:dyDescent="0.3">
      <c r="B4750" s="1"/>
      <c r="C4750" s="1"/>
      <c r="I4750" s="3"/>
      <c r="J4750" s="3"/>
      <c r="K4750" s="3"/>
      <c r="L4750" s="3"/>
    </row>
    <row r="4751" spans="2:12" x14ac:dyDescent="0.3">
      <c r="B4751" s="1"/>
      <c r="C4751" s="1"/>
      <c r="I4751" s="3"/>
      <c r="J4751" s="3"/>
      <c r="K4751" s="3"/>
      <c r="L4751" s="3"/>
    </row>
    <row r="4752" spans="2:12" x14ac:dyDescent="0.3">
      <c r="B4752" s="1"/>
      <c r="C4752" s="1"/>
      <c r="I4752" s="3"/>
      <c r="J4752" s="3"/>
      <c r="K4752" s="3"/>
      <c r="L4752" s="3"/>
    </row>
    <row r="4753" spans="2:12" x14ac:dyDescent="0.3">
      <c r="B4753" s="1"/>
      <c r="C4753" s="1"/>
      <c r="I4753" s="3"/>
      <c r="J4753" s="3"/>
      <c r="K4753" s="3"/>
      <c r="L4753" s="3"/>
    </row>
    <row r="4754" spans="2:12" x14ac:dyDescent="0.3">
      <c r="B4754" s="1"/>
      <c r="C4754" s="1"/>
      <c r="I4754" s="3"/>
      <c r="J4754" s="3"/>
      <c r="K4754" s="3"/>
      <c r="L4754" s="3"/>
    </row>
    <row r="4755" spans="2:12" x14ac:dyDescent="0.3">
      <c r="B4755" s="1"/>
      <c r="C4755" s="1"/>
    </row>
    <row r="4756" spans="2:12" x14ac:dyDescent="0.3">
      <c r="B4756" s="1"/>
    </row>
    <row r="4757" spans="2:12" x14ac:dyDescent="0.3">
      <c r="B4757" s="1"/>
    </row>
    <row r="4758" spans="2:12" x14ac:dyDescent="0.3">
      <c r="B4758" s="1"/>
    </row>
    <row r="4759" spans="2:12" x14ac:dyDescent="0.3">
      <c r="B4759" s="1"/>
    </row>
    <row r="4760" spans="2:12" x14ac:dyDescent="0.3">
      <c r="B4760" s="1"/>
    </row>
    <row r="4761" spans="2:12" x14ac:dyDescent="0.3">
      <c r="B4761" s="1"/>
    </row>
    <row r="4762" spans="2:12" x14ac:dyDescent="0.3">
      <c r="B4762" s="1"/>
    </row>
    <row r="4763" spans="2:12" x14ac:dyDescent="0.3">
      <c r="B4763" s="1"/>
    </row>
    <row r="4764" spans="2:12" x14ac:dyDescent="0.3">
      <c r="B4764" s="1"/>
    </row>
    <row r="4765" spans="2:12" x14ac:dyDescent="0.3">
      <c r="B4765" s="1"/>
    </row>
    <row r="4766" spans="2:12" x14ac:dyDescent="0.3">
      <c r="B4766" s="1"/>
    </row>
    <row r="4767" spans="2:12" x14ac:dyDescent="0.3">
      <c r="B4767" s="1"/>
    </row>
    <row r="4768" spans="2:12" x14ac:dyDescent="0.3">
      <c r="B4768" s="1"/>
    </row>
    <row r="4769" spans="2:2" x14ac:dyDescent="0.3">
      <c r="B4769" s="1"/>
    </row>
    <row r="4770" spans="2:2" x14ac:dyDescent="0.3">
      <c r="B4770" s="1"/>
    </row>
    <row r="4771" spans="2:2" x14ac:dyDescent="0.3">
      <c r="B4771" s="1"/>
    </row>
    <row r="4772" spans="2:2" x14ac:dyDescent="0.3">
      <c r="B4772" s="1"/>
    </row>
    <row r="4773" spans="2:2" x14ac:dyDescent="0.3">
      <c r="B4773" s="1"/>
    </row>
    <row r="4774" spans="2:2" x14ac:dyDescent="0.3">
      <c r="B4774" s="1"/>
    </row>
    <row r="4775" spans="2:2" x14ac:dyDescent="0.3">
      <c r="B4775" s="1"/>
    </row>
    <row r="4776" spans="2:2" x14ac:dyDescent="0.3">
      <c r="B4776" s="1"/>
    </row>
    <row r="4777" spans="2:2" x14ac:dyDescent="0.3">
      <c r="B4777" s="1"/>
    </row>
    <row r="4778" spans="2:2" x14ac:dyDescent="0.3">
      <c r="B4778" s="1"/>
    </row>
    <row r="4779" spans="2:2" x14ac:dyDescent="0.3">
      <c r="B4779" s="1"/>
    </row>
    <row r="4780" spans="2:2" x14ac:dyDescent="0.3">
      <c r="B4780" s="1"/>
    </row>
    <row r="4781" spans="2:2" x14ac:dyDescent="0.3">
      <c r="B4781" s="1"/>
    </row>
    <row r="4782" spans="2:2" x14ac:dyDescent="0.3">
      <c r="B4782" s="1"/>
    </row>
    <row r="4783" spans="2:2" x14ac:dyDescent="0.3">
      <c r="B4783" s="1"/>
    </row>
    <row r="4784" spans="2:2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2" x14ac:dyDescent="0.3">
      <c r="B4801" s="1"/>
    </row>
    <row r="4802" spans="2:2" x14ac:dyDescent="0.3">
      <c r="B4802" s="1"/>
    </row>
    <row r="4803" spans="2:2" x14ac:dyDescent="0.3">
      <c r="B4803" s="1"/>
    </row>
    <row r="4804" spans="2:2" x14ac:dyDescent="0.3">
      <c r="B4804" s="1"/>
    </row>
    <row r="4805" spans="2:2" x14ac:dyDescent="0.3">
      <c r="B4805" s="1"/>
    </row>
    <row r="4806" spans="2:2" x14ac:dyDescent="0.3">
      <c r="B4806" s="1"/>
    </row>
    <row r="4807" spans="2:2" x14ac:dyDescent="0.3">
      <c r="B4807" s="1"/>
    </row>
    <row r="4808" spans="2:2" x14ac:dyDescent="0.3">
      <c r="B4808" s="1"/>
    </row>
    <row r="4809" spans="2:2" x14ac:dyDescent="0.3">
      <c r="B4809" s="1"/>
    </row>
    <row r="4810" spans="2:2" x14ac:dyDescent="0.3">
      <c r="B4810" s="1"/>
    </row>
    <row r="4811" spans="2:2" x14ac:dyDescent="0.3">
      <c r="B4811" s="1"/>
    </row>
    <row r="4812" spans="2:2" x14ac:dyDescent="0.3">
      <c r="B4812" s="1"/>
    </row>
    <row r="4813" spans="2:2" x14ac:dyDescent="0.3">
      <c r="B4813" s="1"/>
    </row>
    <row r="4814" spans="2:2" x14ac:dyDescent="0.3">
      <c r="B4814" s="1"/>
    </row>
    <row r="4815" spans="2:2" x14ac:dyDescent="0.3">
      <c r="B4815" s="1"/>
    </row>
    <row r="4816" spans="2:2" x14ac:dyDescent="0.3">
      <c r="B4816" s="1"/>
    </row>
    <row r="4817" spans="2:2" x14ac:dyDescent="0.3">
      <c r="B4817" s="1"/>
    </row>
    <row r="4818" spans="2:2" x14ac:dyDescent="0.3">
      <c r="B4818" s="1"/>
    </row>
    <row r="4819" spans="2:2" x14ac:dyDescent="0.3">
      <c r="B4819" s="1"/>
    </row>
    <row r="4820" spans="2:2" x14ac:dyDescent="0.3">
      <c r="B4820" s="1"/>
    </row>
    <row r="4821" spans="2:2" x14ac:dyDescent="0.3">
      <c r="B4821" s="1"/>
    </row>
    <row r="4822" spans="2:2" x14ac:dyDescent="0.3">
      <c r="B4822" s="1"/>
    </row>
    <row r="4823" spans="2:2" x14ac:dyDescent="0.3">
      <c r="B4823" s="1"/>
    </row>
    <row r="4824" spans="2:2" x14ac:dyDescent="0.3">
      <c r="B4824" s="1"/>
    </row>
    <row r="4825" spans="2:2" x14ac:dyDescent="0.3">
      <c r="B4825" s="1"/>
    </row>
    <row r="4826" spans="2:2" x14ac:dyDescent="0.3">
      <c r="B4826" s="1"/>
    </row>
    <row r="4827" spans="2:2" x14ac:dyDescent="0.3">
      <c r="B4827" s="1"/>
    </row>
    <row r="4828" spans="2:2" x14ac:dyDescent="0.3">
      <c r="B4828" s="1"/>
    </row>
    <row r="4829" spans="2:2" x14ac:dyDescent="0.3">
      <c r="B4829" s="1"/>
    </row>
    <row r="4830" spans="2:2" x14ac:dyDescent="0.3">
      <c r="B4830" s="1"/>
    </row>
    <row r="4831" spans="2:2" x14ac:dyDescent="0.3">
      <c r="B4831" s="1"/>
    </row>
    <row r="4832" spans="2:2" x14ac:dyDescent="0.3">
      <c r="B4832" s="1"/>
    </row>
    <row r="4833" spans="2:2" x14ac:dyDescent="0.3">
      <c r="B4833" s="1"/>
    </row>
    <row r="4834" spans="2:2" x14ac:dyDescent="0.3">
      <c r="B4834" s="1"/>
    </row>
    <row r="4835" spans="2:2" x14ac:dyDescent="0.3">
      <c r="B4835" s="1"/>
    </row>
    <row r="4836" spans="2:2" x14ac:dyDescent="0.3">
      <c r="B4836" s="1"/>
    </row>
    <row r="4837" spans="2:2" x14ac:dyDescent="0.3">
      <c r="B4837" s="1"/>
    </row>
    <row r="4838" spans="2:2" x14ac:dyDescent="0.3">
      <c r="B4838" s="1"/>
    </row>
    <row r="4839" spans="2:2" x14ac:dyDescent="0.3">
      <c r="B4839" s="1"/>
    </row>
    <row r="4840" spans="2:2" x14ac:dyDescent="0.3">
      <c r="B4840" s="1"/>
    </row>
    <row r="4841" spans="2:2" x14ac:dyDescent="0.3">
      <c r="B4841" s="1"/>
    </row>
    <row r="4842" spans="2:2" x14ac:dyDescent="0.3">
      <c r="B4842" s="1"/>
    </row>
    <row r="4843" spans="2:2" x14ac:dyDescent="0.3">
      <c r="B4843" s="1"/>
    </row>
    <row r="4844" spans="2:2" x14ac:dyDescent="0.3">
      <c r="B484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B500-4275-430E-AD45-8DABE258B9A1}">
  <dimension ref="A1:Q2003"/>
  <sheetViews>
    <sheetView topLeftCell="A1681" workbookViewId="0">
      <selection activeCell="B1674" sqref="B1674"/>
    </sheetView>
  </sheetViews>
  <sheetFormatPr defaultRowHeight="16.5" x14ac:dyDescent="0.3"/>
  <cols>
    <col min="1" max="1" width="10.625" customWidth="1"/>
    <col min="2" max="2" width="11.75" customWidth="1"/>
    <col min="3" max="3" width="10.5" customWidth="1"/>
    <col min="4" max="4" width="11.125" customWidth="1"/>
  </cols>
  <sheetData>
    <row r="1" spans="1:17" x14ac:dyDescent="0.3">
      <c r="A1" s="6" t="s">
        <v>25</v>
      </c>
      <c r="B1" s="7">
        <f>bb!B1</f>
        <v>44562</v>
      </c>
      <c r="C1" s="6" t="s">
        <v>26</v>
      </c>
      <c r="D1" s="7">
        <f>bb!C1</f>
        <v>46260</v>
      </c>
      <c r="E1" s="6" t="s">
        <v>27</v>
      </c>
      <c r="F1" s="5">
        <v>2000</v>
      </c>
      <c r="G1" s="6" t="s">
        <v>28</v>
      </c>
      <c r="H1" s="5" t="s">
        <v>29</v>
      </c>
      <c r="I1" s="6" t="s">
        <v>30</v>
      </c>
      <c r="J1" s="5" t="s">
        <v>31</v>
      </c>
      <c r="K1" s="6" t="s">
        <v>32</v>
      </c>
      <c r="L1" s="5">
        <v>1</v>
      </c>
      <c r="M1" s="6" t="s">
        <v>33</v>
      </c>
      <c r="N1" s="5" t="s">
        <v>34</v>
      </c>
      <c r="O1" s="5"/>
      <c r="P1" s="5" t="s">
        <v>35</v>
      </c>
      <c r="Q1" s="5" t="s">
        <v>36</v>
      </c>
    </row>
    <row r="2" spans="1:17" x14ac:dyDescent="0.3">
      <c r="A2" s="5" t="str">
        <f>_xll.IMDH("IR","IDXKOBI0101",P1:Q1,$B$1,$D$1,$F$1,"Per="&amp;$H$1&amp;",sort="&amp;$J$1&amp;",real=true,Bizday="&amp;$L$1&amp;",Quote="&amp;$N$1&amp;",Pos=20,Orient=V,Title=KIS KOBI지수 KOBI 30 지수,DtFmt=1,TmFmt=1,unit=true")</f>
        <v>KIS KOBI지수 KOBI 30 지수</v>
      </c>
      <c r="B2" s="5"/>
      <c r="C2" s="5" t="str">
        <f>_xll.IMDH("IR","IDXKOBI0201",Q1,$B$1,$D$1,$F$1,"Per="&amp;$H$1&amp;",sort="&amp;$J$1&amp;",real=true,Bizday="&amp;$L$1&amp;",Quote="&amp;$N$1&amp;",Pos=20,Orient=V,Title=KIS KOBI지수 KOBI 120 지수,DtFmt=1,TmFmt=1,unit=true")</f>
        <v>KIS KOBI지수 KOBI 120 지수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3">
      <c r="A3" s="8" t="s">
        <v>35</v>
      </c>
      <c r="B3" s="9" t="s">
        <v>37</v>
      </c>
      <c r="C3" s="10" t="s">
        <v>38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7">
        <v>44562</v>
      </c>
      <c r="B4" s="11">
        <v>228.73517000000001</v>
      </c>
      <c r="C4" s="11">
        <v>211.16418999999999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7">
        <v>44563</v>
      </c>
      <c r="B5" s="11">
        <v>228.74513999999999</v>
      </c>
      <c r="C5" s="11">
        <v>211.17276000000001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3">
      <c r="A6" s="7">
        <v>44564</v>
      </c>
      <c r="B6" s="11">
        <v>228.59023999999999</v>
      </c>
      <c r="C6" s="11">
        <v>211.15126000000001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3">
      <c r="A7" s="7">
        <v>44565</v>
      </c>
      <c r="B7" s="11">
        <v>228.53637000000001</v>
      </c>
      <c r="C7" s="11">
        <v>211.15200999999999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3">
      <c r="A8" s="7">
        <v>44566</v>
      </c>
      <c r="B8" s="11">
        <v>228.45383000000001</v>
      </c>
      <c r="C8" s="11">
        <v>211.13937000000001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3">
      <c r="A9" s="7">
        <v>44567</v>
      </c>
      <c r="B9" s="11">
        <v>228.04024000000001</v>
      </c>
      <c r="C9" s="11">
        <v>211.03366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3">
      <c r="A10" s="7">
        <v>44568</v>
      </c>
      <c r="B10" s="11">
        <v>228.06476000000001</v>
      </c>
      <c r="C10" s="11">
        <v>211.03216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3">
      <c r="A11" s="7">
        <v>44569</v>
      </c>
      <c r="B11" s="11">
        <v>228.07549</v>
      </c>
      <c r="C11" s="11">
        <v>211.04112000000001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3">
      <c r="A12" s="7">
        <v>44570</v>
      </c>
      <c r="B12" s="11">
        <v>228.08623</v>
      </c>
      <c r="C12" s="11">
        <v>211.05008000000001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3">
      <c r="A13" s="7">
        <v>44571</v>
      </c>
      <c r="B13" s="11">
        <v>228.05295000000001</v>
      </c>
      <c r="C13" s="11">
        <v>211.02504999999999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3">
      <c r="A14" s="7">
        <v>44572</v>
      </c>
      <c r="B14" s="11">
        <v>228.11669000000001</v>
      </c>
      <c r="C14" s="11">
        <v>211.03369000000001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3">
      <c r="A15" s="7">
        <v>44573</v>
      </c>
      <c r="B15" s="11">
        <v>228.27104</v>
      </c>
      <c r="C15" s="11">
        <v>211.07928000000001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3">
      <c r="A16" s="7">
        <v>44574</v>
      </c>
      <c r="B16" s="11">
        <v>228.35864000000001</v>
      </c>
      <c r="C16" s="11">
        <v>211.10527999999999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3" x14ac:dyDescent="0.3">
      <c r="A17" s="7">
        <v>44575</v>
      </c>
      <c r="B17" s="11">
        <v>228.09601000000001</v>
      </c>
      <c r="C17" s="11">
        <v>210.99628999999999</v>
      </c>
    </row>
    <row r="18" spans="1:3" x14ac:dyDescent="0.3">
      <c r="A18" s="7">
        <v>44576</v>
      </c>
      <c r="B18" s="11">
        <v>228.10693000000001</v>
      </c>
      <c r="C18" s="11">
        <v>211.00575000000001</v>
      </c>
    </row>
    <row r="19" spans="1:3" x14ac:dyDescent="0.3">
      <c r="A19" s="7">
        <v>44577</v>
      </c>
      <c r="B19" s="11">
        <v>228.11786000000001</v>
      </c>
      <c r="C19" s="11">
        <v>211.01522</v>
      </c>
    </row>
    <row r="20" spans="1:3" x14ac:dyDescent="0.3">
      <c r="A20" s="7">
        <v>44578</v>
      </c>
      <c r="B20" s="11">
        <v>227.81631999999999</v>
      </c>
      <c r="C20" s="11">
        <v>210.94854000000001</v>
      </c>
    </row>
    <row r="21" spans="1:3" x14ac:dyDescent="0.3">
      <c r="A21" s="7">
        <v>44579</v>
      </c>
      <c r="B21" s="11">
        <v>227.93118000000001</v>
      </c>
      <c r="C21" s="11">
        <v>210.98658</v>
      </c>
    </row>
    <row r="22" spans="1:3" x14ac:dyDescent="0.3">
      <c r="A22" s="7">
        <v>44580</v>
      </c>
      <c r="B22" s="11">
        <v>228.05721</v>
      </c>
      <c r="C22" s="11">
        <v>211.03156999999999</v>
      </c>
    </row>
    <row r="23" spans="1:3" x14ac:dyDescent="0.3">
      <c r="A23" s="7">
        <v>44581</v>
      </c>
      <c r="B23" s="11">
        <v>227.91359</v>
      </c>
      <c r="C23" s="11">
        <v>210.99841000000001</v>
      </c>
    </row>
    <row r="24" spans="1:3" x14ac:dyDescent="0.3">
      <c r="A24" s="7">
        <v>44582</v>
      </c>
      <c r="B24" s="11">
        <v>227.88272000000001</v>
      </c>
      <c r="C24" s="11">
        <v>210.99766</v>
      </c>
    </row>
    <row r="25" spans="1:3" x14ac:dyDescent="0.3">
      <c r="A25" s="7">
        <v>44583</v>
      </c>
      <c r="B25" s="11">
        <v>227.89395999999999</v>
      </c>
      <c r="C25" s="11">
        <v>211.00720000000001</v>
      </c>
    </row>
    <row r="26" spans="1:3" x14ac:dyDescent="0.3">
      <c r="A26" s="7">
        <v>44584</v>
      </c>
      <c r="B26" s="11">
        <v>227.90521000000001</v>
      </c>
      <c r="C26" s="11">
        <v>211.01674</v>
      </c>
    </row>
    <row r="27" spans="1:3" x14ac:dyDescent="0.3">
      <c r="A27" s="7">
        <v>44585</v>
      </c>
      <c r="B27" s="11">
        <v>227.95573999999999</v>
      </c>
      <c r="C27" s="11">
        <v>211.03944999999999</v>
      </c>
    </row>
    <row r="28" spans="1:3" x14ac:dyDescent="0.3">
      <c r="A28" s="7">
        <v>44586</v>
      </c>
      <c r="B28" s="11">
        <v>227.80243999999999</v>
      </c>
      <c r="C28" s="11">
        <v>210.99687</v>
      </c>
    </row>
    <row r="29" spans="1:3" x14ac:dyDescent="0.3">
      <c r="A29" s="7">
        <v>44587</v>
      </c>
      <c r="B29" s="11">
        <v>227.85042000000001</v>
      </c>
      <c r="C29" s="11">
        <v>211.01329000000001</v>
      </c>
    </row>
    <row r="30" spans="1:3" x14ac:dyDescent="0.3">
      <c r="A30" s="7">
        <v>44588</v>
      </c>
      <c r="B30" s="11">
        <v>227.69859</v>
      </c>
      <c r="C30" s="11">
        <v>210.97201000000001</v>
      </c>
    </row>
    <row r="31" spans="1:3" x14ac:dyDescent="0.3">
      <c r="A31" s="7">
        <v>44589</v>
      </c>
      <c r="B31" s="11">
        <v>227.77250000000001</v>
      </c>
      <c r="C31" s="11">
        <v>211.00092000000001</v>
      </c>
    </row>
    <row r="32" spans="1:3" x14ac:dyDescent="0.3">
      <c r="A32" s="7">
        <v>44590</v>
      </c>
      <c r="B32" s="11">
        <v>227.78398000000001</v>
      </c>
      <c r="C32" s="11">
        <v>211.01058</v>
      </c>
    </row>
    <row r="33" spans="1:3" x14ac:dyDescent="0.3">
      <c r="A33" s="7">
        <v>44591</v>
      </c>
      <c r="B33" s="11">
        <v>227.79544999999999</v>
      </c>
      <c r="C33" s="11">
        <v>211.02024</v>
      </c>
    </row>
    <row r="34" spans="1:3" x14ac:dyDescent="0.3">
      <c r="A34" s="7">
        <v>44592</v>
      </c>
      <c r="B34" s="11">
        <v>227.80692999999999</v>
      </c>
      <c r="C34" s="11">
        <v>211.0299</v>
      </c>
    </row>
    <row r="35" spans="1:3" x14ac:dyDescent="0.3">
      <c r="A35" s="7">
        <v>44593</v>
      </c>
      <c r="B35" s="11">
        <v>227.81841</v>
      </c>
      <c r="C35" s="11">
        <v>211.03955999999999</v>
      </c>
    </row>
    <row r="36" spans="1:3" x14ac:dyDescent="0.3">
      <c r="A36" s="7">
        <v>44594</v>
      </c>
      <c r="B36" s="11">
        <v>227.82990000000001</v>
      </c>
      <c r="C36" s="11">
        <v>211.04922999999999</v>
      </c>
    </row>
    <row r="37" spans="1:3" x14ac:dyDescent="0.3">
      <c r="A37" s="7">
        <v>44595</v>
      </c>
      <c r="B37" s="11">
        <v>227.9683</v>
      </c>
      <c r="C37" s="11">
        <v>211.10611</v>
      </c>
    </row>
    <row r="38" spans="1:3" x14ac:dyDescent="0.3">
      <c r="A38" s="7">
        <v>44596</v>
      </c>
      <c r="B38" s="11">
        <v>227.88842</v>
      </c>
      <c r="C38" s="11">
        <v>211.08651</v>
      </c>
    </row>
    <row r="39" spans="1:3" x14ac:dyDescent="0.3">
      <c r="A39" s="7">
        <v>44597</v>
      </c>
      <c r="B39" s="11">
        <v>227.89997</v>
      </c>
      <c r="C39" s="11">
        <v>211.09629000000001</v>
      </c>
    </row>
    <row r="40" spans="1:3" x14ac:dyDescent="0.3">
      <c r="A40" s="7">
        <v>44598</v>
      </c>
      <c r="B40" s="11">
        <v>227.91152</v>
      </c>
      <c r="C40" s="11">
        <v>211.10607999999999</v>
      </c>
    </row>
    <row r="41" spans="1:3" x14ac:dyDescent="0.3">
      <c r="A41" s="7">
        <v>44599</v>
      </c>
      <c r="B41" s="11">
        <v>227.74708999999999</v>
      </c>
      <c r="C41" s="11">
        <v>211.07875000000001</v>
      </c>
    </row>
    <row r="42" spans="1:3" x14ac:dyDescent="0.3">
      <c r="A42" s="7">
        <v>44600</v>
      </c>
      <c r="B42" s="11">
        <v>227.50837999999999</v>
      </c>
      <c r="C42" s="11">
        <v>211.01819</v>
      </c>
    </row>
    <row r="43" spans="1:3" x14ac:dyDescent="0.3">
      <c r="A43" s="7">
        <v>44601</v>
      </c>
      <c r="B43" s="11">
        <v>227.60972000000001</v>
      </c>
      <c r="C43" s="11">
        <v>211.05303000000001</v>
      </c>
    </row>
    <row r="44" spans="1:3" x14ac:dyDescent="0.3">
      <c r="A44" s="7">
        <v>44602</v>
      </c>
      <c r="B44" s="11">
        <v>227.65915000000001</v>
      </c>
      <c r="C44" s="11">
        <v>211.07203999999999</v>
      </c>
    </row>
    <row r="45" spans="1:3" x14ac:dyDescent="0.3">
      <c r="A45" s="7">
        <v>44603</v>
      </c>
      <c r="B45" s="11">
        <v>227.40919</v>
      </c>
      <c r="C45" s="11">
        <v>211.00022999999999</v>
      </c>
    </row>
    <row r="46" spans="1:3" x14ac:dyDescent="0.3">
      <c r="A46" s="7">
        <v>44604</v>
      </c>
      <c r="B46" s="11">
        <v>227.42133999999999</v>
      </c>
      <c r="C46" s="11">
        <v>211.01025999999999</v>
      </c>
    </row>
    <row r="47" spans="1:3" x14ac:dyDescent="0.3">
      <c r="A47" s="7">
        <v>44605</v>
      </c>
      <c r="B47" s="11">
        <v>227.43349000000001</v>
      </c>
      <c r="C47" s="11">
        <v>211.02028999999999</v>
      </c>
    </row>
    <row r="48" spans="1:3" x14ac:dyDescent="0.3">
      <c r="A48" s="7">
        <v>44606</v>
      </c>
      <c r="B48" s="11">
        <v>227.42151999999999</v>
      </c>
      <c r="C48" s="11">
        <v>211.03099</v>
      </c>
    </row>
    <row r="49" spans="1:3" x14ac:dyDescent="0.3">
      <c r="A49" s="7">
        <v>44607</v>
      </c>
      <c r="B49" s="11">
        <v>227.46852999999999</v>
      </c>
      <c r="C49" s="11">
        <v>211.05097000000001</v>
      </c>
    </row>
    <row r="50" spans="1:3" x14ac:dyDescent="0.3">
      <c r="A50" s="7">
        <v>44608</v>
      </c>
      <c r="B50" s="11">
        <v>227.58750000000001</v>
      </c>
      <c r="C50" s="11">
        <v>211.08837</v>
      </c>
    </row>
    <row r="51" spans="1:3" x14ac:dyDescent="0.3">
      <c r="A51" s="7">
        <v>44609</v>
      </c>
      <c r="B51" s="11">
        <v>227.69497000000001</v>
      </c>
      <c r="C51" s="11">
        <v>211.12736000000001</v>
      </c>
    </row>
    <row r="52" spans="1:3" x14ac:dyDescent="0.3">
      <c r="A52" s="7">
        <v>44610</v>
      </c>
      <c r="B52" s="11">
        <v>227.64852999999999</v>
      </c>
      <c r="C52" s="11">
        <v>211.12531999999999</v>
      </c>
    </row>
    <row r="53" spans="1:3" x14ac:dyDescent="0.3">
      <c r="A53" s="7">
        <v>44611</v>
      </c>
      <c r="B53" s="11">
        <v>227.66052999999999</v>
      </c>
      <c r="C53" s="11">
        <v>211.13526999999999</v>
      </c>
    </row>
    <row r="54" spans="1:3" x14ac:dyDescent="0.3">
      <c r="A54" s="7">
        <v>44612</v>
      </c>
      <c r="B54" s="11">
        <v>227.67252999999999</v>
      </c>
      <c r="C54" s="11">
        <v>211.14520999999999</v>
      </c>
    </row>
    <row r="55" spans="1:3" x14ac:dyDescent="0.3">
      <c r="A55" s="7">
        <v>44613</v>
      </c>
      <c r="B55" s="11">
        <v>227.5712</v>
      </c>
      <c r="C55" s="11">
        <v>211.13811999999999</v>
      </c>
    </row>
    <row r="56" spans="1:3" x14ac:dyDescent="0.3">
      <c r="A56" s="7">
        <v>44614</v>
      </c>
      <c r="B56" s="11">
        <v>227.67850000000001</v>
      </c>
      <c r="C56" s="11">
        <v>211.17944</v>
      </c>
    </row>
    <row r="57" spans="1:3" x14ac:dyDescent="0.3">
      <c r="A57" s="7">
        <v>44615</v>
      </c>
      <c r="B57" s="11">
        <v>227.71297999999999</v>
      </c>
      <c r="C57" s="11">
        <v>211.18787</v>
      </c>
    </row>
    <row r="58" spans="1:3" x14ac:dyDescent="0.3">
      <c r="A58" s="7">
        <v>44616</v>
      </c>
      <c r="B58" s="11">
        <v>228.00753</v>
      </c>
      <c r="C58" s="11">
        <v>211.27243999999999</v>
      </c>
    </row>
    <row r="59" spans="1:3" x14ac:dyDescent="0.3">
      <c r="A59" s="7">
        <v>44617</v>
      </c>
      <c r="B59" s="11">
        <v>227.94898000000001</v>
      </c>
      <c r="C59" s="11">
        <v>211.25857999999999</v>
      </c>
    </row>
    <row r="60" spans="1:3" x14ac:dyDescent="0.3">
      <c r="A60" s="7">
        <v>44618</v>
      </c>
      <c r="B60" s="11">
        <v>227.96073999999999</v>
      </c>
      <c r="C60" s="11">
        <v>211.26841999999999</v>
      </c>
    </row>
    <row r="61" spans="1:3" x14ac:dyDescent="0.3">
      <c r="A61" s="7">
        <v>44619</v>
      </c>
      <c r="B61" s="11">
        <v>227.9725</v>
      </c>
      <c r="C61" s="11">
        <v>211.27828</v>
      </c>
    </row>
    <row r="62" spans="1:3" x14ac:dyDescent="0.3">
      <c r="A62" s="7">
        <v>44620</v>
      </c>
      <c r="B62" s="11">
        <v>227.98320000000001</v>
      </c>
      <c r="C62" s="11">
        <v>211.28863000000001</v>
      </c>
    </row>
    <row r="63" spans="1:3" x14ac:dyDescent="0.3">
      <c r="A63" s="7">
        <v>44621</v>
      </c>
      <c r="B63" s="11">
        <v>227.99494999999999</v>
      </c>
      <c r="C63" s="11">
        <v>211.29848000000001</v>
      </c>
    </row>
    <row r="64" spans="1:3" x14ac:dyDescent="0.3">
      <c r="A64" s="7">
        <v>44622</v>
      </c>
      <c r="B64" s="11">
        <v>228.23795999999999</v>
      </c>
      <c r="C64" s="11">
        <v>211.39312000000001</v>
      </c>
    </row>
    <row r="65" spans="1:3" x14ac:dyDescent="0.3">
      <c r="A65" s="7">
        <v>44623</v>
      </c>
      <c r="B65" s="11">
        <v>228.1429</v>
      </c>
      <c r="C65" s="11">
        <v>211.36859999999999</v>
      </c>
    </row>
    <row r="66" spans="1:3" x14ac:dyDescent="0.3">
      <c r="A66" s="7">
        <v>44624</v>
      </c>
      <c r="B66" s="11">
        <v>228.20316</v>
      </c>
      <c r="C66" s="11">
        <v>211.39909</v>
      </c>
    </row>
    <row r="67" spans="1:3" x14ac:dyDescent="0.3">
      <c r="A67" s="7">
        <v>44625</v>
      </c>
      <c r="B67" s="11">
        <v>228.21487999999999</v>
      </c>
      <c r="C67" s="11">
        <v>211.40902</v>
      </c>
    </row>
    <row r="68" spans="1:3" x14ac:dyDescent="0.3">
      <c r="A68" s="7">
        <v>44626</v>
      </c>
      <c r="B68" s="11">
        <v>228.22660999999999</v>
      </c>
      <c r="C68" s="11">
        <v>211.41896</v>
      </c>
    </row>
    <row r="69" spans="1:3" x14ac:dyDescent="0.3">
      <c r="A69" s="7">
        <v>44627</v>
      </c>
      <c r="B69" s="11">
        <v>227.98736</v>
      </c>
      <c r="C69" s="11">
        <v>211.35466</v>
      </c>
    </row>
    <row r="70" spans="1:3" x14ac:dyDescent="0.3">
      <c r="A70" s="7">
        <v>44628</v>
      </c>
      <c r="B70" s="11">
        <v>228.01688999999999</v>
      </c>
      <c r="C70" s="11">
        <v>211.36770000000001</v>
      </c>
    </row>
    <row r="71" spans="1:3" x14ac:dyDescent="0.3">
      <c r="A71" s="7">
        <v>44629</v>
      </c>
      <c r="B71" s="11">
        <v>228.02887000000001</v>
      </c>
      <c r="C71" s="11">
        <v>211.37773999999999</v>
      </c>
    </row>
    <row r="72" spans="1:3" x14ac:dyDescent="0.3">
      <c r="A72" s="7">
        <v>44630</v>
      </c>
      <c r="B72" s="11">
        <v>228.07987</v>
      </c>
      <c r="C72" s="11">
        <v>211.40504000000001</v>
      </c>
    </row>
    <row r="73" spans="1:3" x14ac:dyDescent="0.3">
      <c r="A73" s="7">
        <v>44631</v>
      </c>
      <c r="B73" s="11">
        <v>228.20563999999999</v>
      </c>
      <c r="C73" s="11">
        <v>211.45885000000001</v>
      </c>
    </row>
    <row r="74" spans="1:3" x14ac:dyDescent="0.3">
      <c r="A74" s="7">
        <v>44632</v>
      </c>
      <c r="B74" s="11">
        <v>228.21733</v>
      </c>
      <c r="C74" s="11">
        <v>211.46876</v>
      </c>
    </row>
    <row r="75" spans="1:3" x14ac:dyDescent="0.3">
      <c r="A75" s="7">
        <v>44633</v>
      </c>
      <c r="B75" s="11">
        <v>228.22901999999999</v>
      </c>
      <c r="C75" s="11">
        <v>211.47866999999999</v>
      </c>
    </row>
    <row r="76" spans="1:3" x14ac:dyDescent="0.3">
      <c r="A76" s="7">
        <v>44634</v>
      </c>
      <c r="B76" s="11">
        <v>228.19268</v>
      </c>
      <c r="C76" s="11">
        <v>211.50108</v>
      </c>
    </row>
    <row r="77" spans="1:3" x14ac:dyDescent="0.3">
      <c r="A77" s="7">
        <v>44635</v>
      </c>
      <c r="B77" s="11">
        <v>228.21289999999999</v>
      </c>
      <c r="C77" s="11">
        <v>211.51868999999999</v>
      </c>
    </row>
    <row r="78" spans="1:3" x14ac:dyDescent="0.3">
      <c r="A78" s="7">
        <v>44636</v>
      </c>
      <c r="B78" s="11">
        <v>228.28148999999999</v>
      </c>
      <c r="C78" s="11">
        <v>211.54730000000001</v>
      </c>
    </row>
    <row r="79" spans="1:3" x14ac:dyDescent="0.3">
      <c r="A79" s="7">
        <v>44637</v>
      </c>
      <c r="B79" s="11">
        <v>228.43285</v>
      </c>
      <c r="C79" s="11">
        <v>211.59075999999999</v>
      </c>
    </row>
    <row r="80" spans="1:3" x14ac:dyDescent="0.3">
      <c r="A80" s="7">
        <v>44638</v>
      </c>
      <c r="B80" s="11">
        <v>228.38006999999999</v>
      </c>
      <c r="C80" s="11">
        <v>211.57254</v>
      </c>
    </row>
    <row r="81" spans="1:3" x14ac:dyDescent="0.3">
      <c r="A81" s="7">
        <v>44639</v>
      </c>
      <c r="B81" s="11">
        <v>228.39160999999999</v>
      </c>
      <c r="C81" s="11">
        <v>211.58234999999999</v>
      </c>
    </row>
    <row r="82" spans="1:3" x14ac:dyDescent="0.3">
      <c r="A82" s="7">
        <v>44640</v>
      </c>
      <c r="B82" s="11">
        <v>228.40315000000001</v>
      </c>
      <c r="C82" s="11">
        <v>211.59216000000001</v>
      </c>
    </row>
    <row r="83" spans="1:3" x14ac:dyDescent="0.3">
      <c r="A83" s="7">
        <v>44641</v>
      </c>
      <c r="B83" s="11">
        <v>228.29056</v>
      </c>
      <c r="C83" s="11">
        <v>211.57864000000001</v>
      </c>
    </row>
    <row r="84" spans="1:3" x14ac:dyDescent="0.3">
      <c r="A84" s="7">
        <v>44642</v>
      </c>
      <c r="B84" s="11">
        <v>227.91777999999999</v>
      </c>
      <c r="C84" s="11">
        <v>211.47774999999999</v>
      </c>
    </row>
    <row r="85" spans="1:3" x14ac:dyDescent="0.3">
      <c r="A85" s="7">
        <v>44643</v>
      </c>
      <c r="B85" s="11">
        <v>227.88321999999999</v>
      </c>
      <c r="C85" s="11">
        <v>211.46242000000001</v>
      </c>
    </row>
    <row r="86" spans="1:3" x14ac:dyDescent="0.3">
      <c r="A86" s="7">
        <v>44644</v>
      </c>
      <c r="B86" s="11">
        <v>227.7533</v>
      </c>
      <c r="C86" s="11">
        <v>211.42823999999999</v>
      </c>
    </row>
    <row r="87" spans="1:3" x14ac:dyDescent="0.3">
      <c r="A87" s="7">
        <v>44645</v>
      </c>
      <c r="B87" s="11">
        <v>227.59055000000001</v>
      </c>
      <c r="C87" s="11">
        <v>211.38138000000001</v>
      </c>
    </row>
    <row r="88" spans="1:3" x14ac:dyDescent="0.3">
      <c r="A88" s="7">
        <v>44646</v>
      </c>
      <c r="B88" s="11">
        <v>227.60311999999999</v>
      </c>
      <c r="C88" s="11">
        <v>211.39176</v>
      </c>
    </row>
    <row r="89" spans="1:3" x14ac:dyDescent="0.3">
      <c r="A89" s="7">
        <v>44647</v>
      </c>
      <c r="B89" s="11">
        <v>227.61569</v>
      </c>
      <c r="C89" s="11">
        <v>211.40215000000001</v>
      </c>
    </row>
    <row r="90" spans="1:3" x14ac:dyDescent="0.3">
      <c r="A90" s="7">
        <v>44648</v>
      </c>
      <c r="B90" s="11">
        <v>226.78044</v>
      </c>
      <c r="C90" s="11">
        <v>211.11375000000001</v>
      </c>
    </row>
    <row r="91" spans="1:3" x14ac:dyDescent="0.3">
      <c r="A91" s="7">
        <v>44649</v>
      </c>
      <c r="B91" s="11">
        <v>227.0427</v>
      </c>
      <c r="C91" s="11">
        <v>211.16972999999999</v>
      </c>
    </row>
    <row r="92" spans="1:3" x14ac:dyDescent="0.3">
      <c r="A92" s="7">
        <v>44650</v>
      </c>
      <c r="B92" s="11">
        <v>227.25717</v>
      </c>
      <c r="C92" s="11">
        <v>211.21884</v>
      </c>
    </row>
    <row r="93" spans="1:3" x14ac:dyDescent="0.3">
      <c r="A93" s="7">
        <v>44651</v>
      </c>
      <c r="B93" s="11">
        <v>227.17046999999999</v>
      </c>
      <c r="C93" s="11">
        <v>211.21333999999999</v>
      </c>
    </row>
    <row r="94" spans="1:3" x14ac:dyDescent="0.3">
      <c r="A94" s="7">
        <v>44652</v>
      </c>
      <c r="B94" s="11">
        <v>226.81218999999999</v>
      </c>
      <c r="C94" s="11">
        <v>211.10516000000001</v>
      </c>
    </row>
    <row r="95" spans="1:3" x14ac:dyDescent="0.3">
      <c r="A95" s="7">
        <v>44653</v>
      </c>
      <c r="B95" s="11">
        <v>226.82525999999999</v>
      </c>
      <c r="C95" s="11">
        <v>211.11639</v>
      </c>
    </row>
    <row r="96" spans="1:3" x14ac:dyDescent="0.3">
      <c r="A96" s="7">
        <v>44654</v>
      </c>
      <c r="B96" s="11">
        <v>226.8391</v>
      </c>
      <c r="C96" s="11">
        <v>211.12782000000001</v>
      </c>
    </row>
    <row r="97" spans="1:3" x14ac:dyDescent="0.3">
      <c r="A97" s="7">
        <v>44655</v>
      </c>
      <c r="B97" s="11">
        <v>226.72209000000001</v>
      </c>
      <c r="C97" s="11">
        <v>211.09302</v>
      </c>
    </row>
    <row r="98" spans="1:3" x14ac:dyDescent="0.3">
      <c r="A98" s="7">
        <v>44656</v>
      </c>
      <c r="B98" s="11">
        <v>226.44408999999999</v>
      </c>
      <c r="C98" s="11">
        <v>210.98312999999999</v>
      </c>
    </row>
    <row r="99" spans="1:3" x14ac:dyDescent="0.3">
      <c r="A99" s="7">
        <v>44657</v>
      </c>
      <c r="B99" s="11">
        <v>226.26159999999999</v>
      </c>
      <c r="C99" s="11">
        <v>210.89885000000001</v>
      </c>
    </row>
    <row r="100" spans="1:3" x14ac:dyDescent="0.3">
      <c r="A100" s="7">
        <v>44658</v>
      </c>
      <c r="B100" s="11">
        <v>226.34475</v>
      </c>
      <c r="C100" s="11">
        <v>210.91426000000001</v>
      </c>
    </row>
    <row r="101" spans="1:3" x14ac:dyDescent="0.3">
      <c r="A101" s="7">
        <v>44659</v>
      </c>
      <c r="B101" s="11">
        <v>225.96892</v>
      </c>
      <c r="C101" s="11">
        <v>210.76504</v>
      </c>
    </row>
    <row r="102" spans="1:3" x14ac:dyDescent="0.3">
      <c r="A102" s="7">
        <v>44660</v>
      </c>
      <c r="B102" s="11">
        <v>225.98371</v>
      </c>
      <c r="C102" s="11">
        <v>210.77714</v>
      </c>
    </row>
    <row r="103" spans="1:3" x14ac:dyDescent="0.3">
      <c r="A103" s="7">
        <v>44661</v>
      </c>
      <c r="B103" s="11">
        <v>225.99877000000001</v>
      </c>
      <c r="C103" s="11">
        <v>210.78935000000001</v>
      </c>
    </row>
    <row r="104" spans="1:3" x14ac:dyDescent="0.3">
      <c r="A104" s="7">
        <v>44662</v>
      </c>
      <c r="B104" s="11">
        <v>225.24149</v>
      </c>
      <c r="C104" s="11">
        <v>210.50269</v>
      </c>
    </row>
    <row r="105" spans="1:3" x14ac:dyDescent="0.3">
      <c r="A105" s="7">
        <v>44663</v>
      </c>
      <c r="B105" s="11">
        <v>225.54463000000001</v>
      </c>
      <c r="C105" s="11">
        <v>210.59661</v>
      </c>
    </row>
    <row r="106" spans="1:3" x14ac:dyDescent="0.3">
      <c r="A106" s="7">
        <v>44664</v>
      </c>
      <c r="B106" s="11">
        <v>225.83912000000001</v>
      </c>
      <c r="C106" s="11">
        <v>210.70517000000001</v>
      </c>
    </row>
    <row r="107" spans="1:3" x14ac:dyDescent="0.3">
      <c r="A107" s="7">
        <v>44665</v>
      </c>
      <c r="B107" s="11">
        <v>226.35897</v>
      </c>
      <c r="C107" s="11">
        <v>210.92229</v>
      </c>
    </row>
    <row r="108" spans="1:3" x14ac:dyDescent="0.3">
      <c r="A108" s="7">
        <v>44666</v>
      </c>
      <c r="B108" s="11">
        <v>226.16970000000001</v>
      </c>
      <c r="C108" s="11">
        <v>210.86872</v>
      </c>
    </row>
    <row r="109" spans="1:3" x14ac:dyDescent="0.3">
      <c r="A109" s="7">
        <v>44667</v>
      </c>
      <c r="B109" s="11">
        <v>226.18471</v>
      </c>
      <c r="C109" s="11">
        <v>210.8811</v>
      </c>
    </row>
    <row r="110" spans="1:3" x14ac:dyDescent="0.3">
      <c r="A110" s="7">
        <v>44668</v>
      </c>
      <c r="B110" s="11">
        <v>226.19972000000001</v>
      </c>
      <c r="C110" s="11">
        <v>210.89348000000001</v>
      </c>
    </row>
    <row r="111" spans="1:3" x14ac:dyDescent="0.3">
      <c r="A111" s="7">
        <v>44669</v>
      </c>
      <c r="B111" s="11">
        <v>226.08801</v>
      </c>
      <c r="C111" s="11">
        <v>210.88613000000001</v>
      </c>
    </row>
    <row r="112" spans="1:3" x14ac:dyDescent="0.3">
      <c r="A112" s="7">
        <v>44670</v>
      </c>
      <c r="B112" s="11">
        <v>226.26589999999999</v>
      </c>
      <c r="C112" s="11">
        <v>210.96780999999999</v>
      </c>
    </row>
    <row r="113" spans="1:3" x14ac:dyDescent="0.3">
      <c r="A113" s="7">
        <v>44671</v>
      </c>
      <c r="B113" s="11">
        <v>226.30959999999999</v>
      </c>
      <c r="C113" s="11">
        <v>210.99905000000001</v>
      </c>
    </row>
    <row r="114" spans="1:3" x14ac:dyDescent="0.3">
      <c r="A114" s="7">
        <v>44672</v>
      </c>
      <c r="B114" s="11">
        <v>226.32853</v>
      </c>
      <c r="C114" s="11">
        <v>211.02789000000001</v>
      </c>
    </row>
    <row r="115" spans="1:3" x14ac:dyDescent="0.3">
      <c r="A115" s="7">
        <v>44673</v>
      </c>
      <c r="B115" s="11">
        <v>226.28619</v>
      </c>
      <c r="C115" s="11">
        <v>211.03041999999999</v>
      </c>
    </row>
    <row r="116" spans="1:3" x14ac:dyDescent="0.3">
      <c r="A116" s="7">
        <v>44674</v>
      </c>
      <c r="B116" s="11">
        <v>226.30108000000001</v>
      </c>
      <c r="C116" s="11">
        <v>211.04257999999999</v>
      </c>
    </row>
    <row r="117" spans="1:3" x14ac:dyDescent="0.3">
      <c r="A117" s="7">
        <v>44675</v>
      </c>
      <c r="B117" s="11">
        <v>226.31596999999999</v>
      </c>
      <c r="C117" s="11">
        <v>211.05474000000001</v>
      </c>
    </row>
    <row r="118" spans="1:3" x14ac:dyDescent="0.3">
      <c r="A118" s="7">
        <v>44676</v>
      </c>
      <c r="B118" s="11">
        <v>226.67599999999999</v>
      </c>
      <c r="C118" s="11">
        <v>211.18129999999999</v>
      </c>
    </row>
    <row r="119" spans="1:3" x14ac:dyDescent="0.3">
      <c r="A119" s="7">
        <v>44677</v>
      </c>
      <c r="B119" s="11">
        <v>226.77385000000001</v>
      </c>
      <c r="C119" s="11">
        <v>211.22449</v>
      </c>
    </row>
    <row r="120" spans="1:3" x14ac:dyDescent="0.3">
      <c r="A120" s="7">
        <v>44678</v>
      </c>
      <c r="B120" s="11">
        <v>226.58416</v>
      </c>
      <c r="C120" s="11">
        <v>211.17815999999999</v>
      </c>
    </row>
    <row r="121" spans="1:3" x14ac:dyDescent="0.3">
      <c r="A121" s="7">
        <v>44679</v>
      </c>
      <c r="B121" s="11">
        <v>226.49618000000001</v>
      </c>
      <c r="C121" s="11">
        <v>211.14023</v>
      </c>
    </row>
    <row r="122" spans="1:3" x14ac:dyDescent="0.3">
      <c r="A122" s="7">
        <v>44680</v>
      </c>
      <c r="B122" s="11">
        <v>226.39082999999999</v>
      </c>
      <c r="C122" s="11">
        <v>211.11832000000001</v>
      </c>
    </row>
    <row r="123" spans="1:3" x14ac:dyDescent="0.3">
      <c r="A123" s="7">
        <v>44681</v>
      </c>
      <c r="B123" s="11">
        <v>226.4057</v>
      </c>
      <c r="C123" s="11">
        <v>211.13039000000001</v>
      </c>
    </row>
    <row r="124" spans="1:3" x14ac:dyDescent="0.3">
      <c r="A124" s="7">
        <v>44682</v>
      </c>
      <c r="B124" s="11">
        <v>226.42055999999999</v>
      </c>
      <c r="C124" s="11">
        <v>211.14246</v>
      </c>
    </row>
    <row r="125" spans="1:3" x14ac:dyDescent="0.3">
      <c r="A125" s="7">
        <v>44683</v>
      </c>
      <c r="B125" s="11">
        <v>225.99657999999999</v>
      </c>
      <c r="C125" s="11">
        <v>211.02843999999999</v>
      </c>
    </row>
    <row r="126" spans="1:3" x14ac:dyDescent="0.3">
      <c r="A126" s="7">
        <v>44684</v>
      </c>
      <c r="B126" s="11">
        <v>225.87926999999999</v>
      </c>
      <c r="C126" s="11">
        <v>211.00445999999999</v>
      </c>
    </row>
    <row r="127" spans="1:3" x14ac:dyDescent="0.3">
      <c r="A127" s="7">
        <v>44685</v>
      </c>
      <c r="B127" s="11">
        <v>225.77045000000001</v>
      </c>
      <c r="C127" s="11">
        <v>210.9717</v>
      </c>
    </row>
    <row r="128" spans="1:3" x14ac:dyDescent="0.3">
      <c r="A128" s="7">
        <v>44686</v>
      </c>
      <c r="B128" s="11">
        <v>225.78657999999999</v>
      </c>
      <c r="C128" s="11">
        <v>210.98446000000001</v>
      </c>
    </row>
    <row r="129" spans="1:3" x14ac:dyDescent="0.3">
      <c r="A129" s="7">
        <v>44687</v>
      </c>
      <c r="B129" s="11">
        <v>225.90067999999999</v>
      </c>
      <c r="C129" s="11">
        <v>211.03437</v>
      </c>
    </row>
    <row r="130" spans="1:3" x14ac:dyDescent="0.3">
      <c r="A130" s="7">
        <v>44688</v>
      </c>
      <c r="B130" s="11">
        <v>225.91669999999999</v>
      </c>
      <c r="C130" s="11">
        <v>211.04706999999999</v>
      </c>
    </row>
    <row r="131" spans="1:3" x14ac:dyDescent="0.3">
      <c r="A131" s="7">
        <v>44689</v>
      </c>
      <c r="B131" s="11">
        <v>225.93272999999999</v>
      </c>
      <c r="C131" s="11">
        <v>211.05976999999999</v>
      </c>
    </row>
    <row r="132" spans="1:3" x14ac:dyDescent="0.3">
      <c r="A132" s="7">
        <v>44690</v>
      </c>
      <c r="B132" s="11">
        <v>226.18695</v>
      </c>
      <c r="C132" s="11">
        <v>211.17791</v>
      </c>
    </row>
    <row r="133" spans="1:3" x14ac:dyDescent="0.3">
      <c r="A133" s="7">
        <v>44691</v>
      </c>
      <c r="B133" s="11">
        <v>226.25674000000001</v>
      </c>
      <c r="C133" s="11">
        <v>211.20006000000001</v>
      </c>
    </row>
    <row r="134" spans="1:3" x14ac:dyDescent="0.3">
      <c r="A134" s="7">
        <v>44692</v>
      </c>
      <c r="B134" s="11">
        <v>226.72295</v>
      </c>
      <c r="C134" s="11">
        <v>211.33096</v>
      </c>
    </row>
    <row r="135" spans="1:3" x14ac:dyDescent="0.3">
      <c r="A135" s="7">
        <v>44693</v>
      </c>
      <c r="B135" s="11">
        <v>226.80770999999999</v>
      </c>
      <c r="C135" s="11">
        <v>211.35668000000001</v>
      </c>
    </row>
    <row r="136" spans="1:3" x14ac:dyDescent="0.3">
      <c r="A136" s="7">
        <v>44694</v>
      </c>
      <c r="B136" s="11">
        <v>226.77912000000001</v>
      </c>
      <c r="C136" s="11">
        <v>211.34356</v>
      </c>
    </row>
    <row r="137" spans="1:3" x14ac:dyDescent="0.3">
      <c r="A137" s="7">
        <v>44695</v>
      </c>
      <c r="B137" s="11">
        <v>226.79426000000001</v>
      </c>
      <c r="C137" s="11">
        <v>211.35593</v>
      </c>
    </row>
    <row r="138" spans="1:3" x14ac:dyDescent="0.3">
      <c r="A138" s="7">
        <v>44696</v>
      </c>
      <c r="B138" s="11">
        <v>226.80940000000001</v>
      </c>
      <c r="C138" s="11">
        <v>211.36829</v>
      </c>
    </row>
    <row r="139" spans="1:3" x14ac:dyDescent="0.3">
      <c r="A139" s="7">
        <v>44697</v>
      </c>
      <c r="B139" s="11">
        <v>226.46018000000001</v>
      </c>
      <c r="C139" s="11">
        <v>211.25316000000001</v>
      </c>
    </row>
    <row r="140" spans="1:3" x14ac:dyDescent="0.3">
      <c r="A140" s="7">
        <v>44698</v>
      </c>
      <c r="B140" s="11">
        <v>226.49596</v>
      </c>
      <c r="C140" s="11">
        <v>211.25151</v>
      </c>
    </row>
    <row r="141" spans="1:3" x14ac:dyDescent="0.3">
      <c r="A141" s="7">
        <v>44699</v>
      </c>
      <c r="B141" s="11">
        <v>226.43564000000001</v>
      </c>
      <c r="C141" s="11">
        <v>211.23029</v>
      </c>
    </row>
    <row r="142" spans="1:3" x14ac:dyDescent="0.3">
      <c r="A142" s="7">
        <v>44700</v>
      </c>
      <c r="B142" s="11">
        <v>226.47329999999999</v>
      </c>
      <c r="C142" s="11">
        <v>211.24349000000001</v>
      </c>
    </row>
    <row r="143" spans="1:3" x14ac:dyDescent="0.3">
      <c r="A143" s="7">
        <v>44701</v>
      </c>
      <c r="B143" s="11">
        <v>226.59673000000001</v>
      </c>
      <c r="C143" s="11">
        <v>211.26482999999999</v>
      </c>
    </row>
    <row r="144" spans="1:3" x14ac:dyDescent="0.3">
      <c r="A144" s="7">
        <v>44702</v>
      </c>
      <c r="B144" s="11">
        <v>226.61227</v>
      </c>
      <c r="C144" s="11">
        <v>211.27762000000001</v>
      </c>
    </row>
    <row r="145" spans="1:3" x14ac:dyDescent="0.3">
      <c r="A145" s="7">
        <v>44703</v>
      </c>
      <c r="B145" s="11">
        <v>226.62781000000001</v>
      </c>
      <c r="C145" s="11">
        <v>211.29041000000001</v>
      </c>
    </row>
    <row r="146" spans="1:3" x14ac:dyDescent="0.3">
      <c r="A146" s="7">
        <v>44704</v>
      </c>
      <c r="B146" s="11">
        <v>226.57219000000001</v>
      </c>
      <c r="C146" s="11">
        <v>211.27682999999999</v>
      </c>
    </row>
    <row r="147" spans="1:3" x14ac:dyDescent="0.3">
      <c r="A147" s="7">
        <v>44705</v>
      </c>
      <c r="B147" s="11">
        <v>226.77475000000001</v>
      </c>
      <c r="C147" s="11">
        <v>211.3227</v>
      </c>
    </row>
    <row r="148" spans="1:3" x14ac:dyDescent="0.3">
      <c r="A148" s="7">
        <v>44706</v>
      </c>
      <c r="B148" s="11">
        <v>226.83172999999999</v>
      </c>
      <c r="C148" s="11">
        <v>211.34290999999999</v>
      </c>
    </row>
    <row r="149" spans="1:3" x14ac:dyDescent="0.3">
      <c r="A149" s="7">
        <v>44707</v>
      </c>
      <c r="B149" s="11">
        <v>226.78754000000001</v>
      </c>
      <c r="C149" s="11">
        <v>211.29166000000001</v>
      </c>
    </row>
    <row r="150" spans="1:3" x14ac:dyDescent="0.3">
      <c r="A150" s="7">
        <v>44708</v>
      </c>
      <c r="B150" s="11">
        <v>226.83134999999999</v>
      </c>
      <c r="C150" s="11">
        <v>211.30763999999999</v>
      </c>
    </row>
    <row r="151" spans="1:3" x14ac:dyDescent="0.3">
      <c r="A151" s="7">
        <v>44709</v>
      </c>
      <c r="B151" s="11">
        <v>226.84692000000001</v>
      </c>
      <c r="C151" s="11">
        <v>211.32080999999999</v>
      </c>
    </row>
    <row r="152" spans="1:3" x14ac:dyDescent="0.3">
      <c r="A152" s="7">
        <v>44710</v>
      </c>
      <c r="B152" s="11">
        <v>226.86249000000001</v>
      </c>
      <c r="C152" s="11">
        <v>211.33398</v>
      </c>
    </row>
    <row r="153" spans="1:3" x14ac:dyDescent="0.3">
      <c r="A153" s="7">
        <v>44711</v>
      </c>
      <c r="B153" s="11">
        <v>226.86396999999999</v>
      </c>
      <c r="C153" s="11">
        <v>211.34706</v>
      </c>
    </row>
    <row r="154" spans="1:3" x14ac:dyDescent="0.3">
      <c r="A154" s="7">
        <v>44712</v>
      </c>
      <c r="B154" s="11">
        <v>226.61111</v>
      </c>
      <c r="C154" s="11">
        <v>211.26998</v>
      </c>
    </row>
    <row r="155" spans="1:3" x14ac:dyDescent="0.3">
      <c r="A155" s="7">
        <v>44713</v>
      </c>
      <c r="B155" s="11">
        <v>226.62701999999999</v>
      </c>
      <c r="C155" s="11">
        <v>211.28334000000001</v>
      </c>
    </row>
    <row r="156" spans="1:3" x14ac:dyDescent="0.3">
      <c r="A156" s="7">
        <v>44714</v>
      </c>
      <c r="B156" s="11">
        <v>226.32236</v>
      </c>
      <c r="C156" s="11">
        <v>211.20240999999999</v>
      </c>
    </row>
    <row r="157" spans="1:3" x14ac:dyDescent="0.3">
      <c r="A157" s="7">
        <v>44715</v>
      </c>
      <c r="B157" s="11">
        <v>226.31608</v>
      </c>
      <c r="C157" s="11">
        <v>211.20590000000001</v>
      </c>
    </row>
    <row r="158" spans="1:3" x14ac:dyDescent="0.3">
      <c r="A158" s="7">
        <v>44716</v>
      </c>
      <c r="B158" s="11">
        <v>226.33271999999999</v>
      </c>
      <c r="C158" s="11">
        <v>211.21967000000001</v>
      </c>
    </row>
    <row r="159" spans="1:3" x14ac:dyDescent="0.3">
      <c r="A159" s="7">
        <v>44717</v>
      </c>
      <c r="B159" s="11">
        <v>226.34936999999999</v>
      </c>
      <c r="C159" s="11">
        <v>211.23344</v>
      </c>
    </row>
    <row r="160" spans="1:3" x14ac:dyDescent="0.3">
      <c r="A160" s="7">
        <v>44718</v>
      </c>
      <c r="B160" s="11">
        <v>226.36601999999999</v>
      </c>
      <c r="C160" s="11">
        <v>211.24721</v>
      </c>
    </row>
    <row r="161" spans="1:3" x14ac:dyDescent="0.3">
      <c r="A161" s="7">
        <v>44719</v>
      </c>
      <c r="B161" s="11">
        <v>225.98911000000001</v>
      </c>
      <c r="C161" s="11">
        <v>211.1215</v>
      </c>
    </row>
    <row r="162" spans="1:3" x14ac:dyDescent="0.3">
      <c r="A162" s="7">
        <v>44720</v>
      </c>
      <c r="B162" s="11">
        <v>226.14421999999999</v>
      </c>
      <c r="C162" s="11">
        <v>211.17663999999999</v>
      </c>
    </row>
    <row r="163" spans="1:3" x14ac:dyDescent="0.3">
      <c r="A163" s="7">
        <v>44721</v>
      </c>
      <c r="B163" s="11">
        <v>226.24796000000001</v>
      </c>
      <c r="C163" s="11">
        <v>211.21414999999999</v>
      </c>
    </row>
    <row r="164" spans="1:3" x14ac:dyDescent="0.3">
      <c r="A164" s="7">
        <v>44722</v>
      </c>
      <c r="B164" s="11">
        <v>226.12918999999999</v>
      </c>
      <c r="C164" s="11">
        <v>211.17352</v>
      </c>
    </row>
    <row r="165" spans="1:3" x14ac:dyDescent="0.3">
      <c r="A165" s="7">
        <v>44723</v>
      </c>
      <c r="B165" s="11">
        <v>226.14614</v>
      </c>
      <c r="C165" s="11">
        <v>211.18751</v>
      </c>
    </row>
    <row r="166" spans="1:3" x14ac:dyDescent="0.3">
      <c r="A166" s="7">
        <v>44724</v>
      </c>
      <c r="B166" s="11">
        <v>226.16309000000001</v>
      </c>
      <c r="C166" s="11">
        <v>211.20149000000001</v>
      </c>
    </row>
    <row r="167" spans="1:3" x14ac:dyDescent="0.3">
      <c r="A167" s="7">
        <v>44725</v>
      </c>
      <c r="B167" s="11">
        <v>225.29133999999999</v>
      </c>
      <c r="C167" s="11">
        <v>210.90129999999999</v>
      </c>
    </row>
    <row r="168" spans="1:3" x14ac:dyDescent="0.3">
      <c r="A168" s="7">
        <v>44726</v>
      </c>
      <c r="B168" s="11">
        <v>225.18298999999999</v>
      </c>
      <c r="C168" s="11">
        <v>210.84451999999999</v>
      </c>
    </row>
    <row r="169" spans="1:3" x14ac:dyDescent="0.3">
      <c r="A169" s="7">
        <v>44727</v>
      </c>
      <c r="B169" s="11">
        <v>224.73535000000001</v>
      </c>
      <c r="C169" s="11">
        <v>210.59669</v>
      </c>
    </row>
    <row r="170" spans="1:3" x14ac:dyDescent="0.3">
      <c r="A170" s="7">
        <v>44728</v>
      </c>
      <c r="B170" s="11">
        <v>224.41222999999999</v>
      </c>
      <c r="C170" s="11">
        <v>210.43289999999999</v>
      </c>
    </row>
    <row r="171" spans="1:3" x14ac:dyDescent="0.3">
      <c r="A171" s="7">
        <v>44729</v>
      </c>
      <c r="B171" s="11">
        <v>224.30296000000001</v>
      </c>
      <c r="C171" s="11">
        <v>210.39704</v>
      </c>
    </row>
    <row r="172" spans="1:3" x14ac:dyDescent="0.3">
      <c r="A172" s="7">
        <v>44730</v>
      </c>
      <c r="B172" s="11">
        <v>224.32247000000001</v>
      </c>
      <c r="C172" s="11">
        <v>210.41298</v>
      </c>
    </row>
    <row r="173" spans="1:3" x14ac:dyDescent="0.3">
      <c r="A173" s="7">
        <v>44731</v>
      </c>
      <c r="B173" s="11">
        <v>224.34199000000001</v>
      </c>
      <c r="C173" s="11">
        <v>210.42893000000001</v>
      </c>
    </row>
    <row r="174" spans="1:3" x14ac:dyDescent="0.3">
      <c r="A174" s="7">
        <v>44732</v>
      </c>
      <c r="B174" s="11">
        <v>224.61322000000001</v>
      </c>
      <c r="C174" s="11">
        <v>210.53773000000001</v>
      </c>
    </row>
    <row r="175" spans="1:3" x14ac:dyDescent="0.3">
      <c r="A175" s="7">
        <v>44733</v>
      </c>
      <c r="B175" s="11">
        <v>224.61891</v>
      </c>
      <c r="C175" s="11">
        <v>210.54174</v>
      </c>
    </row>
    <row r="176" spans="1:3" x14ac:dyDescent="0.3">
      <c r="A176" s="7">
        <v>44734</v>
      </c>
      <c r="B176" s="11">
        <v>225.03219999999999</v>
      </c>
      <c r="C176" s="11">
        <v>210.64777000000001</v>
      </c>
    </row>
    <row r="177" spans="1:3" x14ac:dyDescent="0.3">
      <c r="A177" s="7">
        <v>44735</v>
      </c>
      <c r="B177" s="11">
        <v>224.74401</v>
      </c>
      <c r="C177" s="11">
        <v>210.53923</v>
      </c>
    </row>
    <row r="178" spans="1:3" x14ac:dyDescent="0.3">
      <c r="A178" s="7">
        <v>44736</v>
      </c>
      <c r="B178" s="11">
        <v>225.04192</v>
      </c>
      <c r="C178" s="11">
        <v>210.61723000000001</v>
      </c>
    </row>
    <row r="179" spans="1:3" x14ac:dyDescent="0.3">
      <c r="A179" s="7">
        <v>44737</v>
      </c>
      <c r="B179" s="11">
        <v>225.06082000000001</v>
      </c>
      <c r="C179" s="11">
        <v>210.63306</v>
      </c>
    </row>
    <row r="180" spans="1:3" x14ac:dyDescent="0.3">
      <c r="A180" s="7">
        <v>44738</v>
      </c>
      <c r="B180" s="11">
        <v>225.07973000000001</v>
      </c>
      <c r="C180" s="11">
        <v>210.6489</v>
      </c>
    </row>
    <row r="181" spans="1:3" x14ac:dyDescent="0.3">
      <c r="A181" s="7">
        <v>44739</v>
      </c>
      <c r="B181" s="11">
        <v>224.90768</v>
      </c>
      <c r="C181" s="11">
        <v>210.58598000000001</v>
      </c>
    </row>
    <row r="182" spans="1:3" x14ac:dyDescent="0.3">
      <c r="A182" s="7">
        <v>44740</v>
      </c>
      <c r="B182" s="11">
        <v>224.89881</v>
      </c>
      <c r="C182" s="11">
        <v>210.57193000000001</v>
      </c>
    </row>
    <row r="183" spans="1:3" x14ac:dyDescent="0.3">
      <c r="A183" s="7">
        <v>44741</v>
      </c>
      <c r="B183" s="11">
        <v>224.88104999999999</v>
      </c>
      <c r="C183" s="11">
        <v>210.53219000000001</v>
      </c>
    </row>
    <row r="184" spans="1:3" x14ac:dyDescent="0.3">
      <c r="A184" s="7">
        <v>44742</v>
      </c>
      <c r="B184" s="11">
        <v>224.84083000000001</v>
      </c>
      <c r="C184" s="11">
        <v>210.47265999999999</v>
      </c>
    </row>
    <row r="185" spans="1:3" x14ac:dyDescent="0.3">
      <c r="A185" s="7">
        <v>44743</v>
      </c>
      <c r="B185" s="11">
        <v>225.25075000000001</v>
      </c>
      <c r="C185" s="11">
        <v>210.57552999999999</v>
      </c>
    </row>
    <row r="186" spans="1:3" x14ac:dyDescent="0.3">
      <c r="A186" s="7">
        <v>44744</v>
      </c>
      <c r="B186" s="11">
        <v>225.26871</v>
      </c>
      <c r="C186" s="11">
        <v>210.59215</v>
      </c>
    </row>
    <row r="187" spans="1:3" x14ac:dyDescent="0.3">
      <c r="A187" s="7">
        <v>44745</v>
      </c>
      <c r="B187" s="11">
        <v>225.28793999999999</v>
      </c>
      <c r="C187" s="11">
        <v>210.60910000000001</v>
      </c>
    </row>
    <row r="188" spans="1:3" x14ac:dyDescent="0.3">
      <c r="A188" s="7">
        <v>44746</v>
      </c>
      <c r="B188" s="11">
        <v>225.33627999999999</v>
      </c>
      <c r="C188" s="11">
        <v>210.62688</v>
      </c>
    </row>
    <row r="189" spans="1:3" x14ac:dyDescent="0.3">
      <c r="A189" s="7">
        <v>44747</v>
      </c>
      <c r="B189" s="11">
        <v>225.75094999999999</v>
      </c>
      <c r="C189" s="11">
        <v>210.76401000000001</v>
      </c>
    </row>
    <row r="190" spans="1:3" x14ac:dyDescent="0.3">
      <c r="A190" s="7">
        <v>44748</v>
      </c>
      <c r="B190" s="11">
        <v>225.94162</v>
      </c>
      <c r="C190" s="11">
        <v>210.83288999999999</v>
      </c>
    </row>
    <row r="191" spans="1:3" x14ac:dyDescent="0.3">
      <c r="A191" s="7">
        <v>44749</v>
      </c>
      <c r="B191" s="11">
        <v>225.85747000000001</v>
      </c>
      <c r="C191" s="11">
        <v>210.78698</v>
      </c>
    </row>
    <row r="192" spans="1:3" x14ac:dyDescent="0.3">
      <c r="A192" s="7">
        <v>44750</v>
      </c>
      <c r="B192" s="11">
        <v>225.73566</v>
      </c>
      <c r="C192" s="11">
        <v>210.74381</v>
      </c>
    </row>
    <row r="193" spans="1:3" x14ac:dyDescent="0.3">
      <c r="A193" s="7">
        <v>44751</v>
      </c>
      <c r="B193" s="11">
        <v>225.75435999999999</v>
      </c>
      <c r="C193" s="11">
        <v>210.76079999999999</v>
      </c>
    </row>
    <row r="194" spans="1:3" x14ac:dyDescent="0.3">
      <c r="A194" s="7">
        <v>44752</v>
      </c>
      <c r="B194" s="11">
        <v>225.77332000000001</v>
      </c>
      <c r="C194" s="11">
        <v>210.77786</v>
      </c>
    </row>
    <row r="195" spans="1:3" x14ac:dyDescent="0.3">
      <c r="A195" s="7">
        <v>44753</v>
      </c>
      <c r="B195" s="11">
        <v>225.76580999999999</v>
      </c>
      <c r="C195" s="11">
        <v>210.78271000000001</v>
      </c>
    </row>
    <row r="196" spans="1:3" x14ac:dyDescent="0.3">
      <c r="A196" s="7">
        <v>44754</v>
      </c>
      <c r="B196" s="11">
        <v>225.92209</v>
      </c>
      <c r="C196" s="11">
        <v>210.83213000000001</v>
      </c>
    </row>
    <row r="197" spans="1:3" x14ac:dyDescent="0.3">
      <c r="A197" s="7">
        <v>44755</v>
      </c>
      <c r="B197" s="11">
        <v>226.15751</v>
      </c>
      <c r="C197" s="11">
        <v>210.89765</v>
      </c>
    </row>
    <row r="198" spans="1:3" x14ac:dyDescent="0.3">
      <c r="A198" s="7">
        <v>44756</v>
      </c>
      <c r="B198" s="11">
        <v>226.03271000000001</v>
      </c>
      <c r="C198" s="11">
        <v>210.84682000000001</v>
      </c>
    </row>
    <row r="199" spans="1:3" x14ac:dyDescent="0.3">
      <c r="A199" s="7">
        <v>44757</v>
      </c>
      <c r="B199" s="11">
        <v>226.22783000000001</v>
      </c>
      <c r="C199" s="11">
        <v>210.91310999999999</v>
      </c>
    </row>
    <row r="200" spans="1:3" x14ac:dyDescent="0.3">
      <c r="A200" s="7">
        <v>44758</v>
      </c>
      <c r="B200" s="11">
        <v>226.24652</v>
      </c>
      <c r="C200" s="11">
        <v>210.93052</v>
      </c>
    </row>
    <row r="201" spans="1:3" x14ac:dyDescent="0.3">
      <c r="A201" s="7">
        <v>44759</v>
      </c>
      <c r="B201" s="11">
        <v>226.26521</v>
      </c>
      <c r="C201" s="11">
        <v>210.94793000000001</v>
      </c>
    </row>
    <row r="202" spans="1:3" x14ac:dyDescent="0.3">
      <c r="A202" s="7">
        <v>44760</v>
      </c>
      <c r="B202" s="11">
        <v>226.17615000000001</v>
      </c>
      <c r="C202" s="11">
        <v>210.92919000000001</v>
      </c>
    </row>
    <row r="203" spans="1:3" x14ac:dyDescent="0.3">
      <c r="A203" s="7">
        <v>44761</v>
      </c>
      <c r="B203" s="11">
        <v>226.29607999999999</v>
      </c>
      <c r="C203" s="11">
        <v>210.9888</v>
      </c>
    </row>
    <row r="204" spans="1:3" x14ac:dyDescent="0.3">
      <c r="A204" s="7">
        <v>44762</v>
      </c>
      <c r="B204" s="11">
        <v>225.97398000000001</v>
      </c>
      <c r="C204" s="11">
        <v>210.89857000000001</v>
      </c>
    </row>
    <row r="205" spans="1:3" x14ac:dyDescent="0.3">
      <c r="A205" s="7">
        <v>44763</v>
      </c>
      <c r="B205" s="11">
        <v>225.97068999999999</v>
      </c>
      <c r="C205" s="11">
        <v>210.90731</v>
      </c>
    </row>
    <row r="206" spans="1:3" x14ac:dyDescent="0.3">
      <c r="A206" s="7">
        <v>44764</v>
      </c>
      <c r="B206" s="11">
        <v>226.25848999999999</v>
      </c>
      <c r="C206" s="11">
        <v>211.01507000000001</v>
      </c>
    </row>
    <row r="207" spans="1:3" x14ac:dyDescent="0.3">
      <c r="A207" s="7">
        <v>44765</v>
      </c>
      <c r="B207" s="11">
        <v>226.27728999999999</v>
      </c>
      <c r="C207" s="11">
        <v>211.03252000000001</v>
      </c>
    </row>
    <row r="208" spans="1:3" x14ac:dyDescent="0.3">
      <c r="A208" s="7">
        <v>44766</v>
      </c>
      <c r="B208" s="11">
        <v>226.29607999999999</v>
      </c>
      <c r="C208" s="11">
        <v>211.04996</v>
      </c>
    </row>
    <row r="209" spans="1:3" x14ac:dyDescent="0.3">
      <c r="A209" s="7">
        <v>44767</v>
      </c>
      <c r="B209" s="11">
        <v>226.48482999999999</v>
      </c>
      <c r="C209" s="11">
        <v>211.11744999999999</v>
      </c>
    </row>
    <row r="210" spans="1:3" x14ac:dyDescent="0.3">
      <c r="A210" s="7">
        <v>44768</v>
      </c>
      <c r="B210" s="11">
        <v>226.56693000000001</v>
      </c>
      <c r="C210" s="11">
        <v>211.14913999999999</v>
      </c>
    </row>
    <row r="211" spans="1:3" x14ac:dyDescent="0.3">
      <c r="A211" s="7">
        <v>44769</v>
      </c>
      <c r="B211" s="11">
        <v>226.70170999999999</v>
      </c>
      <c r="C211" s="11">
        <v>211.19621000000001</v>
      </c>
    </row>
    <row r="212" spans="1:3" x14ac:dyDescent="0.3">
      <c r="A212" s="7">
        <v>44770</v>
      </c>
      <c r="B212" s="11">
        <v>226.58018999999999</v>
      </c>
      <c r="C212" s="11">
        <v>211.16884999999999</v>
      </c>
    </row>
    <row r="213" spans="1:3" x14ac:dyDescent="0.3">
      <c r="A213" s="7">
        <v>44771</v>
      </c>
      <c r="B213" s="11">
        <v>226.99887000000001</v>
      </c>
      <c r="C213" s="11">
        <v>211.32696999999999</v>
      </c>
    </row>
    <row r="214" spans="1:3" x14ac:dyDescent="0.3">
      <c r="A214" s="7">
        <v>44772</v>
      </c>
      <c r="B214" s="11">
        <v>227.01698999999999</v>
      </c>
      <c r="C214" s="11">
        <v>211.34406999999999</v>
      </c>
    </row>
    <row r="215" spans="1:3" x14ac:dyDescent="0.3">
      <c r="A215" s="7">
        <v>44773</v>
      </c>
      <c r="B215" s="11">
        <v>227.03511</v>
      </c>
      <c r="C215" s="11">
        <v>211.36116999999999</v>
      </c>
    </row>
    <row r="216" spans="1:3" x14ac:dyDescent="0.3">
      <c r="A216" s="7">
        <v>44774</v>
      </c>
      <c r="B216" s="11">
        <v>226.77382</v>
      </c>
      <c r="C216" s="11">
        <v>211.26875999999999</v>
      </c>
    </row>
    <row r="217" spans="1:3" x14ac:dyDescent="0.3">
      <c r="A217" s="7">
        <v>44775</v>
      </c>
      <c r="B217" s="11">
        <v>227.06761</v>
      </c>
      <c r="C217" s="11">
        <v>211.3896</v>
      </c>
    </row>
    <row r="218" spans="1:3" x14ac:dyDescent="0.3">
      <c r="A218" s="7">
        <v>44776</v>
      </c>
      <c r="B218" s="11">
        <v>226.88179</v>
      </c>
      <c r="C218" s="11">
        <v>211.34137000000001</v>
      </c>
    </row>
    <row r="219" spans="1:3" x14ac:dyDescent="0.3">
      <c r="A219" s="7">
        <v>44777</v>
      </c>
      <c r="B219" s="11">
        <v>226.75136000000001</v>
      </c>
      <c r="C219" s="11">
        <v>211.34253000000001</v>
      </c>
    </row>
    <row r="220" spans="1:3" x14ac:dyDescent="0.3">
      <c r="A220" s="7">
        <v>44778</v>
      </c>
      <c r="B220" s="11">
        <v>226.93259</v>
      </c>
      <c r="C220" s="11">
        <v>211.42822000000001</v>
      </c>
    </row>
    <row r="221" spans="1:3" x14ac:dyDescent="0.3">
      <c r="A221" s="7">
        <v>44779</v>
      </c>
      <c r="B221" s="11">
        <v>226.95108999999999</v>
      </c>
      <c r="C221" s="11">
        <v>211.44557</v>
      </c>
    </row>
    <row r="222" spans="1:3" x14ac:dyDescent="0.3">
      <c r="A222" s="7">
        <v>44780</v>
      </c>
      <c r="B222" s="11">
        <v>226.96959000000001</v>
      </c>
      <c r="C222" s="11">
        <v>211.46290999999999</v>
      </c>
    </row>
    <row r="223" spans="1:3" x14ac:dyDescent="0.3">
      <c r="A223" s="7">
        <v>44781</v>
      </c>
      <c r="B223" s="11">
        <v>226.8152</v>
      </c>
      <c r="C223" s="11">
        <v>211.41990999999999</v>
      </c>
    </row>
    <row r="224" spans="1:3" x14ac:dyDescent="0.3">
      <c r="A224" s="7">
        <v>44782</v>
      </c>
      <c r="B224" s="11">
        <v>226.83093</v>
      </c>
      <c r="C224" s="11">
        <v>211.44540000000001</v>
      </c>
    </row>
    <row r="225" spans="1:3" x14ac:dyDescent="0.3">
      <c r="A225" s="7">
        <v>44783</v>
      </c>
      <c r="B225" s="11">
        <v>226.76447999999999</v>
      </c>
      <c r="C225" s="11">
        <v>211.44279</v>
      </c>
    </row>
    <row r="226" spans="1:3" x14ac:dyDescent="0.3">
      <c r="A226" s="7">
        <v>44784</v>
      </c>
      <c r="B226" s="11">
        <v>226.88380000000001</v>
      </c>
      <c r="C226" s="11">
        <v>211.50130999999999</v>
      </c>
    </row>
    <row r="227" spans="1:3" x14ac:dyDescent="0.3">
      <c r="A227" s="7">
        <v>44785</v>
      </c>
      <c r="B227" s="11">
        <v>226.72893999999999</v>
      </c>
      <c r="C227" s="11">
        <v>211.46581</v>
      </c>
    </row>
    <row r="228" spans="1:3" x14ac:dyDescent="0.3">
      <c r="A228" s="7">
        <v>44786</v>
      </c>
      <c r="B228" s="11">
        <v>226.74782999999999</v>
      </c>
      <c r="C228" s="11">
        <v>211.48333</v>
      </c>
    </row>
    <row r="229" spans="1:3" x14ac:dyDescent="0.3">
      <c r="A229" s="7">
        <v>44787</v>
      </c>
      <c r="B229" s="11">
        <v>226.76671999999999</v>
      </c>
      <c r="C229" s="11">
        <v>211.50085999999999</v>
      </c>
    </row>
    <row r="230" spans="1:3" x14ac:dyDescent="0.3">
      <c r="A230" s="7">
        <v>44788</v>
      </c>
      <c r="B230" s="11">
        <v>226.78561999999999</v>
      </c>
      <c r="C230" s="11">
        <v>211.51838000000001</v>
      </c>
    </row>
    <row r="231" spans="1:3" x14ac:dyDescent="0.3">
      <c r="A231" s="7">
        <v>44789</v>
      </c>
      <c r="B231" s="11">
        <v>227.18679</v>
      </c>
      <c r="C231" s="11">
        <v>211.67851999999999</v>
      </c>
    </row>
    <row r="232" spans="1:3" x14ac:dyDescent="0.3">
      <c r="A232" s="7">
        <v>44790</v>
      </c>
      <c r="B232" s="11">
        <v>227.13131000000001</v>
      </c>
      <c r="C232" s="11">
        <v>211.67303999999999</v>
      </c>
    </row>
    <row r="233" spans="1:3" x14ac:dyDescent="0.3">
      <c r="A233" s="7">
        <v>44791</v>
      </c>
      <c r="B233" s="11">
        <v>227.01992999999999</v>
      </c>
      <c r="C233" s="11">
        <v>211.65571</v>
      </c>
    </row>
    <row r="234" spans="1:3" x14ac:dyDescent="0.3">
      <c r="A234" s="7">
        <v>44792</v>
      </c>
      <c r="B234" s="11">
        <v>226.81627</v>
      </c>
      <c r="C234" s="11">
        <v>211.60444000000001</v>
      </c>
    </row>
    <row r="235" spans="1:3" x14ac:dyDescent="0.3">
      <c r="A235" s="7">
        <v>44793</v>
      </c>
      <c r="B235" s="11">
        <v>226.83519999999999</v>
      </c>
      <c r="C235" s="11">
        <v>211.62192999999999</v>
      </c>
    </row>
    <row r="236" spans="1:3" x14ac:dyDescent="0.3">
      <c r="A236" s="7">
        <v>44794</v>
      </c>
      <c r="B236" s="11">
        <v>226.85414</v>
      </c>
      <c r="C236" s="11">
        <v>211.63942</v>
      </c>
    </row>
    <row r="237" spans="1:3" x14ac:dyDescent="0.3">
      <c r="A237" s="7">
        <v>44795</v>
      </c>
      <c r="B237" s="11">
        <v>226.71388999999999</v>
      </c>
      <c r="C237" s="11">
        <v>211.59575000000001</v>
      </c>
    </row>
    <row r="238" spans="1:3" x14ac:dyDescent="0.3">
      <c r="A238" s="7">
        <v>44796</v>
      </c>
      <c r="B238" s="11">
        <v>226.59204</v>
      </c>
      <c r="C238" s="11">
        <v>211.55024</v>
      </c>
    </row>
    <row r="239" spans="1:3" x14ac:dyDescent="0.3">
      <c r="A239" s="7">
        <v>44797</v>
      </c>
      <c r="B239" s="11">
        <v>226.41708</v>
      </c>
      <c r="C239" s="11">
        <v>211.46931000000001</v>
      </c>
    </row>
    <row r="240" spans="1:3" x14ac:dyDescent="0.3">
      <c r="A240" s="7">
        <v>44798</v>
      </c>
      <c r="B240" s="11">
        <v>225.64760000000001</v>
      </c>
      <c r="C240" s="11">
        <v>211.16504</v>
      </c>
    </row>
    <row r="241" spans="1:3" x14ac:dyDescent="0.3">
      <c r="A241" s="7">
        <v>44799</v>
      </c>
      <c r="B241" s="11">
        <v>225.63050999999999</v>
      </c>
      <c r="C241" s="11">
        <v>211.17786000000001</v>
      </c>
    </row>
    <row r="242" spans="1:3" x14ac:dyDescent="0.3">
      <c r="A242" s="7">
        <v>44800</v>
      </c>
      <c r="B242" s="11">
        <v>225.65119999999999</v>
      </c>
      <c r="C242" s="11">
        <v>211.19671</v>
      </c>
    </row>
    <row r="243" spans="1:3" x14ac:dyDescent="0.3">
      <c r="A243" s="7">
        <v>44801</v>
      </c>
      <c r="B243" s="11">
        <v>225.67188999999999</v>
      </c>
      <c r="C243" s="11">
        <v>211.21555000000001</v>
      </c>
    </row>
    <row r="244" spans="1:3" x14ac:dyDescent="0.3">
      <c r="A244" s="7">
        <v>44802</v>
      </c>
      <c r="B244" s="11">
        <v>225.22963999999999</v>
      </c>
      <c r="C244" s="11">
        <v>211.07169999999999</v>
      </c>
    </row>
    <row r="245" spans="1:3" x14ac:dyDescent="0.3">
      <c r="A245" s="7">
        <v>44803</v>
      </c>
      <c r="B245" s="11">
        <v>225.33221</v>
      </c>
      <c r="C245" s="11">
        <v>211.14564999999999</v>
      </c>
    </row>
    <row r="246" spans="1:3" x14ac:dyDescent="0.3">
      <c r="A246" s="7">
        <v>44804</v>
      </c>
      <c r="B246" s="11">
        <v>225.24113</v>
      </c>
      <c r="C246" s="11">
        <v>211.10719</v>
      </c>
    </row>
    <row r="247" spans="1:3" x14ac:dyDescent="0.3">
      <c r="A247" s="7">
        <v>44805</v>
      </c>
      <c r="B247" s="11">
        <v>224.89475999999999</v>
      </c>
      <c r="C247" s="11">
        <v>210.97981999999999</v>
      </c>
    </row>
    <row r="248" spans="1:3" x14ac:dyDescent="0.3">
      <c r="A248" s="7">
        <v>44806</v>
      </c>
      <c r="B248" s="11">
        <v>225.31556</v>
      </c>
      <c r="C248" s="11">
        <v>211.14561</v>
      </c>
    </row>
    <row r="249" spans="1:3" x14ac:dyDescent="0.3">
      <c r="A249" s="7">
        <v>44807</v>
      </c>
      <c r="B249" s="11">
        <v>225.33663000000001</v>
      </c>
      <c r="C249" s="11">
        <v>211.16503</v>
      </c>
    </row>
    <row r="250" spans="1:3" x14ac:dyDescent="0.3">
      <c r="A250" s="7">
        <v>44808</v>
      </c>
      <c r="B250" s="11">
        <v>225.35798</v>
      </c>
      <c r="C250" s="11">
        <v>211.18445</v>
      </c>
    </row>
    <row r="251" spans="1:3" x14ac:dyDescent="0.3">
      <c r="A251" s="7">
        <v>44809</v>
      </c>
      <c r="B251" s="11">
        <v>225.64546999999999</v>
      </c>
      <c r="C251" s="11">
        <v>211.30116000000001</v>
      </c>
    </row>
    <row r="252" spans="1:3" x14ac:dyDescent="0.3">
      <c r="A252" s="7">
        <v>44810</v>
      </c>
      <c r="B252" s="11">
        <v>225.45717999999999</v>
      </c>
      <c r="C252" s="11">
        <v>211.2467</v>
      </c>
    </row>
    <row r="253" spans="1:3" x14ac:dyDescent="0.3">
      <c r="A253" s="7">
        <v>44811</v>
      </c>
      <c r="B253" s="11">
        <v>225.45486</v>
      </c>
      <c r="C253" s="11">
        <v>211.25463999999999</v>
      </c>
    </row>
    <row r="254" spans="1:3" x14ac:dyDescent="0.3">
      <c r="A254" s="7">
        <v>44812</v>
      </c>
      <c r="B254" s="11">
        <v>225.99297000000001</v>
      </c>
      <c r="C254" s="11">
        <v>211.48023000000001</v>
      </c>
    </row>
    <row r="255" spans="1:3" x14ac:dyDescent="0.3">
      <c r="A255" s="7">
        <v>44813</v>
      </c>
      <c r="B255" s="11">
        <v>226.01363000000001</v>
      </c>
      <c r="C255" s="11">
        <v>211.49922000000001</v>
      </c>
    </row>
    <row r="256" spans="1:3" x14ac:dyDescent="0.3">
      <c r="A256" s="7">
        <v>44814</v>
      </c>
      <c r="B256" s="11">
        <v>226.03422</v>
      </c>
      <c r="C256" s="11">
        <v>211.51820000000001</v>
      </c>
    </row>
    <row r="257" spans="1:3" x14ac:dyDescent="0.3">
      <c r="A257" s="7">
        <v>44815</v>
      </c>
      <c r="B257" s="11">
        <v>226.05484999999999</v>
      </c>
      <c r="C257" s="11">
        <v>211.53719000000001</v>
      </c>
    </row>
    <row r="258" spans="1:3" x14ac:dyDescent="0.3">
      <c r="A258" s="7">
        <v>44816</v>
      </c>
      <c r="B258" s="11">
        <v>226.07548</v>
      </c>
      <c r="C258" s="11">
        <v>211.55618000000001</v>
      </c>
    </row>
    <row r="259" spans="1:3" x14ac:dyDescent="0.3">
      <c r="A259" s="7">
        <v>44817</v>
      </c>
      <c r="B259" s="11">
        <v>226.19765000000001</v>
      </c>
      <c r="C259" s="11">
        <v>211.60562999999999</v>
      </c>
    </row>
    <row r="260" spans="1:3" x14ac:dyDescent="0.3">
      <c r="A260" s="7">
        <v>44818</v>
      </c>
      <c r="B260" s="11">
        <v>226.02474000000001</v>
      </c>
      <c r="C260" s="11">
        <v>211.54902000000001</v>
      </c>
    </row>
    <row r="261" spans="1:3" x14ac:dyDescent="0.3">
      <c r="A261" s="7">
        <v>44819</v>
      </c>
      <c r="B261" s="11">
        <v>225.43061</v>
      </c>
      <c r="C261" s="11">
        <v>211.35222999999999</v>
      </c>
    </row>
    <row r="262" spans="1:3" x14ac:dyDescent="0.3">
      <c r="A262" s="7">
        <v>44820</v>
      </c>
      <c r="B262" s="11">
        <v>225.42301</v>
      </c>
      <c r="C262" s="11">
        <v>211.34228999999999</v>
      </c>
    </row>
    <row r="263" spans="1:3" x14ac:dyDescent="0.3">
      <c r="A263" s="7">
        <v>44821</v>
      </c>
      <c r="B263" s="11">
        <v>225.44453999999999</v>
      </c>
      <c r="C263" s="11">
        <v>211.36180999999999</v>
      </c>
    </row>
    <row r="264" spans="1:3" x14ac:dyDescent="0.3">
      <c r="A264" s="7">
        <v>44822</v>
      </c>
      <c r="B264" s="11">
        <v>225.46608000000001</v>
      </c>
      <c r="C264" s="11">
        <v>211.38133999999999</v>
      </c>
    </row>
    <row r="265" spans="1:3" x14ac:dyDescent="0.3">
      <c r="A265" s="7">
        <v>44823</v>
      </c>
      <c r="B265" s="11">
        <v>225.48084</v>
      </c>
      <c r="C265" s="11">
        <v>211.40194</v>
      </c>
    </row>
    <row r="266" spans="1:3" x14ac:dyDescent="0.3">
      <c r="A266" s="7">
        <v>44824</v>
      </c>
      <c r="B266" s="11">
        <v>225.24690000000001</v>
      </c>
      <c r="C266" s="11">
        <v>211.31324000000001</v>
      </c>
    </row>
    <row r="267" spans="1:3" x14ac:dyDescent="0.3">
      <c r="A267" s="7">
        <v>44825</v>
      </c>
      <c r="B267" s="11">
        <v>225.18104</v>
      </c>
      <c r="C267" s="11">
        <v>211.29372000000001</v>
      </c>
    </row>
    <row r="268" spans="1:3" x14ac:dyDescent="0.3">
      <c r="A268" s="7">
        <v>44826</v>
      </c>
      <c r="B268" s="11">
        <v>224.25278</v>
      </c>
      <c r="C268" s="11">
        <v>210.87259</v>
      </c>
    </row>
    <row r="269" spans="1:3" x14ac:dyDescent="0.3">
      <c r="A269" s="7">
        <v>44827</v>
      </c>
      <c r="B269" s="11">
        <v>223.94424000000001</v>
      </c>
      <c r="C269" s="11">
        <v>210.75546</v>
      </c>
    </row>
    <row r="270" spans="1:3" x14ac:dyDescent="0.3">
      <c r="A270" s="7">
        <v>44828</v>
      </c>
      <c r="B270" s="11">
        <v>223.96789000000001</v>
      </c>
      <c r="C270" s="11">
        <v>210.77655999999999</v>
      </c>
    </row>
    <row r="271" spans="1:3" x14ac:dyDescent="0.3">
      <c r="A271" s="7">
        <v>44829</v>
      </c>
      <c r="B271" s="11">
        <v>223.99153999999999</v>
      </c>
      <c r="C271" s="11">
        <v>210.79765</v>
      </c>
    </row>
    <row r="272" spans="1:3" x14ac:dyDescent="0.3">
      <c r="A272" s="7">
        <v>44830</v>
      </c>
      <c r="B272" s="11">
        <v>222.79040000000001</v>
      </c>
      <c r="C272" s="11">
        <v>210.29105999999999</v>
      </c>
    </row>
    <row r="273" spans="1:3" x14ac:dyDescent="0.3">
      <c r="A273" s="7">
        <v>44831</v>
      </c>
      <c r="B273" s="11">
        <v>223.52090000000001</v>
      </c>
      <c r="C273" s="11">
        <v>210.55067</v>
      </c>
    </row>
    <row r="274" spans="1:3" x14ac:dyDescent="0.3">
      <c r="A274" s="7">
        <v>44832</v>
      </c>
      <c r="B274" s="11">
        <v>223.35544999999999</v>
      </c>
      <c r="C274" s="11">
        <v>210.46296000000001</v>
      </c>
    </row>
    <row r="275" spans="1:3" x14ac:dyDescent="0.3">
      <c r="A275" s="7">
        <v>44833</v>
      </c>
      <c r="B275" s="11">
        <v>223.58072000000001</v>
      </c>
      <c r="C275" s="11">
        <v>210.57361</v>
      </c>
    </row>
    <row r="276" spans="1:3" x14ac:dyDescent="0.3">
      <c r="A276" s="7">
        <v>44834</v>
      </c>
      <c r="B276" s="11">
        <v>224.01364000000001</v>
      </c>
      <c r="C276" s="11">
        <v>210.78344999999999</v>
      </c>
    </row>
    <row r="277" spans="1:3" x14ac:dyDescent="0.3">
      <c r="A277" s="7">
        <v>44835</v>
      </c>
      <c r="B277" s="11">
        <v>224.03739999999999</v>
      </c>
      <c r="C277" s="11">
        <v>210.80486999999999</v>
      </c>
    </row>
    <row r="278" spans="1:3" x14ac:dyDescent="0.3">
      <c r="A278" s="7">
        <v>44836</v>
      </c>
      <c r="B278" s="11">
        <v>224.06111000000001</v>
      </c>
      <c r="C278" s="11">
        <v>210.82629</v>
      </c>
    </row>
    <row r="279" spans="1:3" x14ac:dyDescent="0.3">
      <c r="A279" s="7">
        <v>44837</v>
      </c>
      <c r="B279" s="11">
        <v>224.08483000000001</v>
      </c>
      <c r="C279" s="11">
        <v>210.8477</v>
      </c>
    </row>
    <row r="280" spans="1:3" x14ac:dyDescent="0.3">
      <c r="A280" s="7">
        <v>44838</v>
      </c>
      <c r="B280" s="11">
        <v>224.61435</v>
      </c>
      <c r="C280" s="11">
        <v>211.08123000000001</v>
      </c>
    </row>
    <row r="281" spans="1:3" x14ac:dyDescent="0.3">
      <c r="A281" s="7">
        <v>44839</v>
      </c>
      <c r="B281" s="11">
        <v>224.30178000000001</v>
      </c>
      <c r="C281" s="11">
        <v>210.97337999999999</v>
      </c>
    </row>
    <row r="282" spans="1:3" x14ac:dyDescent="0.3">
      <c r="A282" s="7">
        <v>44840</v>
      </c>
      <c r="B282" s="11">
        <v>224.37381999999999</v>
      </c>
      <c r="C282" s="11">
        <v>211.03342000000001</v>
      </c>
    </row>
    <row r="283" spans="1:3" x14ac:dyDescent="0.3">
      <c r="A283" s="7">
        <v>44841</v>
      </c>
      <c r="B283" s="11">
        <v>224.00764000000001</v>
      </c>
      <c r="C283" s="11">
        <v>210.93603999999999</v>
      </c>
    </row>
    <row r="284" spans="1:3" x14ac:dyDescent="0.3">
      <c r="A284" s="7">
        <v>44842</v>
      </c>
      <c r="B284" s="11">
        <v>224.03074000000001</v>
      </c>
      <c r="C284" s="11">
        <v>210.95774</v>
      </c>
    </row>
    <row r="285" spans="1:3" x14ac:dyDescent="0.3">
      <c r="A285" s="7">
        <v>44843</v>
      </c>
      <c r="B285" s="11">
        <v>224.05384000000001</v>
      </c>
      <c r="C285" s="11">
        <v>210.97945000000001</v>
      </c>
    </row>
    <row r="286" spans="1:3" x14ac:dyDescent="0.3">
      <c r="A286" s="7">
        <v>44844</v>
      </c>
      <c r="B286" s="11">
        <v>224.07695000000001</v>
      </c>
      <c r="C286" s="11">
        <v>211.00115</v>
      </c>
    </row>
    <row r="287" spans="1:3" x14ac:dyDescent="0.3">
      <c r="A287" s="7">
        <v>44845</v>
      </c>
      <c r="B287" s="11">
        <v>223.84272000000001</v>
      </c>
      <c r="C287" s="11">
        <v>210.91844</v>
      </c>
    </row>
    <row r="288" spans="1:3" x14ac:dyDescent="0.3">
      <c r="A288" s="7">
        <v>44846</v>
      </c>
      <c r="B288" s="11">
        <v>224.61005</v>
      </c>
      <c r="C288" s="11">
        <v>211.14256</v>
      </c>
    </row>
    <row r="289" spans="1:3" x14ac:dyDescent="0.3">
      <c r="A289" s="7">
        <v>44847</v>
      </c>
      <c r="B289" s="11">
        <v>224.27862999999999</v>
      </c>
      <c r="C289" s="11">
        <v>211.01182</v>
      </c>
    </row>
    <row r="290" spans="1:3" x14ac:dyDescent="0.3">
      <c r="A290" s="7">
        <v>44848</v>
      </c>
      <c r="B290" s="11">
        <v>224.29418000000001</v>
      </c>
      <c r="C290" s="11">
        <v>211.02518000000001</v>
      </c>
    </row>
    <row r="291" spans="1:3" x14ac:dyDescent="0.3">
      <c r="A291" s="7">
        <v>44849</v>
      </c>
      <c r="B291" s="11">
        <v>224.31729000000001</v>
      </c>
      <c r="C291" s="11">
        <v>211.04742999999999</v>
      </c>
    </row>
    <row r="292" spans="1:3" x14ac:dyDescent="0.3">
      <c r="A292" s="7">
        <v>44850</v>
      </c>
      <c r="B292" s="11">
        <v>224.34039999999999</v>
      </c>
      <c r="C292" s="11">
        <v>211.06968000000001</v>
      </c>
    </row>
    <row r="293" spans="1:3" x14ac:dyDescent="0.3">
      <c r="A293" s="7">
        <v>44851</v>
      </c>
      <c r="B293" s="11">
        <v>224.18935999999999</v>
      </c>
      <c r="C293" s="11">
        <v>211.01129</v>
      </c>
    </row>
    <row r="294" spans="1:3" x14ac:dyDescent="0.3">
      <c r="A294" s="7">
        <v>44852</v>
      </c>
      <c r="B294" s="11">
        <v>224.10374999999999</v>
      </c>
      <c r="C294" s="11">
        <v>210.94225</v>
      </c>
    </row>
    <row r="295" spans="1:3" x14ac:dyDescent="0.3">
      <c r="A295" s="7">
        <v>44853</v>
      </c>
      <c r="B295" s="11">
        <v>223.78778</v>
      </c>
      <c r="C295" s="11">
        <v>210.79261</v>
      </c>
    </row>
    <row r="296" spans="1:3" x14ac:dyDescent="0.3">
      <c r="A296" s="7">
        <v>44854</v>
      </c>
      <c r="B296" s="11">
        <v>223.70164</v>
      </c>
      <c r="C296" s="11">
        <v>210.74361999999999</v>
      </c>
    </row>
    <row r="297" spans="1:3" x14ac:dyDescent="0.3">
      <c r="A297" s="7">
        <v>44855</v>
      </c>
      <c r="B297" s="11">
        <v>223.24757</v>
      </c>
      <c r="C297" s="11">
        <v>210.52464000000001</v>
      </c>
    </row>
    <row r="298" spans="1:3" x14ac:dyDescent="0.3">
      <c r="A298" s="7">
        <v>44856</v>
      </c>
      <c r="B298" s="11">
        <v>223.27223000000001</v>
      </c>
      <c r="C298" s="11">
        <v>210.54839999999999</v>
      </c>
    </row>
    <row r="299" spans="1:3" x14ac:dyDescent="0.3">
      <c r="A299" s="7">
        <v>44857</v>
      </c>
      <c r="B299" s="11">
        <v>223.29688999999999</v>
      </c>
      <c r="C299" s="11">
        <v>210.57216</v>
      </c>
    </row>
    <row r="300" spans="1:3" x14ac:dyDescent="0.3">
      <c r="A300" s="7">
        <v>44858</v>
      </c>
      <c r="B300" s="11">
        <v>223.75665000000001</v>
      </c>
      <c r="C300" s="11">
        <v>210.74083999999999</v>
      </c>
    </row>
    <row r="301" spans="1:3" x14ac:dyDescent="0.3">
      <c r="A301" s="7">
        <v>44859</v>
      </c>
      <c r="B301" s="11">
        <v>224.05960999999999</v>
      </c>
      <c r="C301" s="11">
        <v>210.84071</v>
      </c>
    </row>
    <row r="302" spans="1:3" x14ac:dyDescent="0.3">
      <c r="A302" s="7">
        <v>44860</v>
      </c>
      <c r="B302" s="11">
        <v>224.02241000000001</v>
      </c>
      <c r="C302" s="11">
        <v>210.78891999999999</v>
      </c>
    </row>
    <row r="303" spans="1:3" x14ac:dyDescent="0.3">
      <c r="A303" s="7">
        <v>44861</v>
      </c>
      <c r="B303" s="11">
        <v>223.88077999999999</v>
      </c>
      <c r="C303" s="11">
        <v>210.72112999999999</v>
      </c>
    </row>
    <row r="304" spans="1:3" x14ac:dyDescent="0.3">
      <c r="A304" s="7">
        <v>44862</v>
      </c>
      <c r="B304" s="11">
        <v>224.32669000000001</v>
      </c>
      <c r="C304" s="11">
        <v>210.87011000000001</v>
      </c>
    </row>
    <row r="305" spans="1:3" x14ac:dyDescent="0.3">
      <c r="A305" s="7">
        <v>44863</v>
      </c>
      <c r="B305" s="11">
        <v>224.35042999999999</v>
      </c>
      <c r="C305" s="11">
        <v>210.89393000000001</v>
      </c>
    </row>
    <row r="306" spans="1:3" x14ac:dyDescent="0.3">
      <c r="A306" s="7">
        <v>44864</v>
      </c>
      <c r="B306" s="11">
        <v>224.37418</v>
      </c>
      <c r="C306" s="11">
        <v>210.91774000000001</v>
      </c>
    </row>
    <row r="307" spans="1:3" x14ac:dyDescent="0.3">
      <c r="A307" s="7">
        <v>44865</v>
      </c>
      <c r="B307" s="11">
        <v>224.18471</v>
      </c>
      <c r="C307" s="11">
        <v>210.83788000000001</v>
      </c>
    </row>
    <row r="308" spans="1:3" x14ac:dyDescent="0.3">
      <c r="A308" s="7">
        <v>44866</v>
      </c>
      <c r="B308" s="11">
        <v>224.55950000000001</v>
      </c>
      <c r="C308" s="11">
        <v>210.96018000000001</v>
      </c>
    </row>
    <row r="309" spans="1:3" x14ac:dyDescent="0.3">
      <c r="A309" s="7">
        <v>44867</v>
      </c>
      <c r="B309" s="11">
        <v>224.43948</v>
      </c>
      <c r="C309" s="11">
        <v>210.88317000000001</v>
      </c>
    </row>
    <row r="310" spans="1:3" x14ac:dyDescent="0.3">
      <c r="A310" s="7">
        <v>44868</v>
      </c>
      <c r="B310" s="11">
        <v>224.18192999999999</v>
      </c>
      <c r="C310" s="11">
        <v>210.78298000000001</v>
      </c>
    </row>
    <row r="311" spans="1:3" x14ac:dyDescent="0.3">
      <c r="A311" s="7">
        <v>44869</v>
      </c>
      <c r="B311" s="11">
        <v>224.29692</v>
      </c>
      <c r="C311" s="11">
        <v>210.82271</v>
      </c>
    </row>
    <row r="312" spans="1:3" x14ac:dyDescent="0.3">
      <c r="A312" s="7">
        <v>44870</v>
      </c>
      <c r="B312" s="11">
        <v>224.32163</v>
      </c>
      <c r="C312" s="11">
        <v>210.84746000000001</v>
      </c>
    </row>
    <row r="313" spans="1:3" x14ac:dyDescent="0.3">
      <c r="A313" s="7">
        <v>44871</v>
      </c>
      <c r="B313" s="11">
        <v>224.34634</v>
      </c>
      <c r="C313" s="11">
        <v>210.87223</v>
      </c>
    </row>
    <row r="314" spans="1:3" x14ac:dyDescent="0.3">
      <c r="A314" s="7">
        <v>44872</v>
      </c>
      <c r="B314" s="11">
        <v>224.16195999999999</v>
      </c>
      <c r="C314" s="11">
        <v>210.80069</v>
      </c>
    </row>
    <row r="315" spans="1:3" x14ac:dyDescent="0.3">
      <c r="A315" s="7">
        <v>44873</v>
      </c>
      <c r="B315" s="11">
        <v>224.27919</v>
      </c>
      <c r="C315" s="11">
        <v>210.85708</v>
      </c>
    </row>
    <row r="316" spans="1:3" x14ac:dyDescent="0.3">
      <c r="A316" s="7">
        <v>44874</v>
      </c>
      <c r="B316" s="11">
        <v>224.51634000000001</v>
      </c>
      <c r="C316" s="11">
        <v>210.94450000000001</v>
      </c>
    </row>
    <row r="317" spans="1:3" x14ac:dyDescent="0.3">
      <c r="A317" s="7">
        <v>44875</v>
      </c>
      <c r="B317" s="11">
        <v>224.72708</v>
      </c>
      <c r="C317" s="11">
        <v>211.01392999999999</v>
      </c>
    </row>
    <row r="318" spans="1:3" x14ac:dyDescent="0.3">
      <c r="A318" s="7">
        <v>44876</v>
      </c>
      <c r="B318" s="11">
        <v>225.39858000000001</v>
      </c>
      <c r="C318" s="11">
        <v>211.26471000000001</v>
      </c>
    </row>
    <row r="319" spans="1:3" x14ac:dyDescent="0.3">
      <c r="A319" s="7">
        <v>44877</v>
      </c>
      <c r="B319" s="11">
        <v>225.42231000000001</v>
      </c>
      <c r="C319" s="11">
        <v>211.28917999999999</v>
      </c>
    </row>
    <row r="320" spans="1:3" x14ac:dyDescent="0.3">
      <c r="A320" s="7">
        <v>44878</v>
      </c>
      <c r="B320" s="11">
        <v>225.44605000000001</v>
      </c>
      <c r="C320" s="11">
        <v>211.31365</v>
      </c>
    </row>
    <row r="321" spans="1:3" x14ac:dyDescent="0.3">
      <c r="A321" s="7">
        <v>44879</v>
      </c>
      <c r="B321" s="11">
        <v>225.39017999999999</v>
      </c>
      <c r="C321" s="11">
        <v>211.30679000000001</v>
      </c>
    </row>
    <row r="322" spans="1:3" x14ac:dyDescent="0.3">
      <c r="A322" s="7">
        <v>44880</v>
      </c>
      <c r="B322" s="11">
        <v>225.72899000000001</v>
      </c>
      <c r="C322" s="11">
        <v>211.43842000000001</v>
      </c>
    </row>
    <row r="323" spans="1:3" x14ac:dyDescent="0.3">
      <c r="A323" s="7">
        <v>44881</v>
      </c>
      <c r="B323" s="11">
        <v>225.51877999999999</v>
      </c>
      <c r="C323" s="11">
        <v>211.36138</v>
      </c>
    </row>
    <row r="324" spans="1:3" x14ac:dyDescent="0.3">
      <c r="A324" s="7">
        <v>44882</v>
      </c>
      <c r="B324" s="11">
        <v>225.53667999999999</v>
      </c>
      <c r="C324" s="11">
        <v>211.38137</v>
      </c>
    </row>
    <row r="325" spans="1:3" x14ac:dyDescent="0.3">
      <c r="A325" s="7">
        <v>44883</v>
      </c>
      <c r="B325" s="11">
        <v>225.63432</v>
      </c>
      <c r="C325" s="11">
        <v>211.43102999999999</v>
      </c>
    </row>
    <row r="326" spans="1:3" x14ac:dyDescent="0.3">
      <c r="A326" s="7">
        <v>44884</v>
      </c>
      <c r="B326" s="11">
        <v>225.65800999999999</v>
      </c>
      <c r="C326" s="11">
        <v>211.45552000000001</v>
      </c>
    </row>
    <row r="327" spans="1:3" x14ac:dyDescent="0.3">
      <c r="A327" s="7">
        <v>44885</v>
      </c>
      <c r="B327" s="11">
        <v>225.68171000000001</v>
      </c>
      <c r="C327" s="11">
        <v>211.48</v>
      </c>
    </row>
    <row r="328" spans="1:3" x14ac:dyDescent="0.3">
      <c r="A328" s="7">
        <v>44886</v>
      </c>
      <c r="B328" s="11">
        <v>225.51025000000001</v>
      </c>
      <c r="C328" s="11">
        <v>211.43226000000001</v>
      </c>
    </row>
    <row r="329" spans="1:3" x14ac:dyDescent="0.3">
      <c r="A329" s="7">
        <v>44887</v>
      </c>
      <c r="B329" s="11">
        <v>225.49409</v>
      </c>
      <c r="C329" s="11">
        <v>211.43243000000001</v>
      </c>
    </row>
    <row r="330" spans="1:3" x14ac:dyDescent="0.3">
      <c r="A330" s="7">
        <v>44888</v>
      </c>
      <c r="B330" s="11">
        <v>225.58045000000001</v>
      </c>
      <c r="C330" s="11">
        <v>211.49218999999999</v>
      </c>
    </row>
    <row r="331" spans="1:3" x14ac:dyDescent="0.3">
      <c r="A331" s="7">
        <v>44889</v>
      </c>
      <c r="B331" s="11">
        <v>226.08000999999999</v>
      </c>
      <c r="C331" s="11">
        <v>211.70840999999999</v>
      </c>
    </row>
    <row r="332" spans="1:3" x14ac:dyDescent="0.3">
      <c r="A332" s="7">
        <v>44890</v>
      </c>
      <c r="B332" s="11">
        <v>226.28967</v>
      </c>
      <c r="C332" s="11">
        <v>211.79943</v>
      </c>
    </row>
    <row r="333" spans="1:3" x14ac:dyDescent="0.3">
      <c r="A333" s="7">
        <v>44891</v>
      </c>
      <c r="B333" s="11">
        <v>226.31278</v>
      </c>
      <c r="C333" s="11">
        <v>211.82353000000001</v>
      </c>
    </row>
    <row r="334" spans="1:3" x14ac:dyDescent="0.3">
      <c r="A334" s="7">
        <v>44892</v>
      </c>
      <c r="B334" s="11">
        <v>226.33588</v>
      </c>
      <c r="C334" s="11">
        <v>211.84764000000001</v>
      </c>
    </row>
    <row r="335" spans="1:3" x14ac:dyDescent="0.3">
      <c r="A335" s="7">
        <v>44893</v>
      </c>
      <c r="B335" s="11">
        <v>226.28683000000001</v>
      </c>
      <c r="C335" s="11">
        <v>211.84412</v>
      </c>
    </row>
    <row r="336" spans="1:3" x14ac:dyDescent="0.3">
      <c r="A336" s="7">
        <v>44894</v>
      </c>
      <c r="B336" s="11">
        <v>226.18261000000001</v>
      </c>
      <c r="C336" s="11">
        <v>211.84555</v>
      </c>
    </row>
    <row r="337" spans="1:3" x14ac:dyDescent="0.3">
      <c r="A337" s="7">
        <v>44895</v>
      </c>
      <c r="B337" s="11">
        <v>226.22671</v>
      </c>
      <c r="C337" s="11">
        <v>211.89091999999999</v>
      </c>
    </row>
    <row r="338" spans="1:3" x14ac:dyDescent="0.3">
      <c r="A338" s="7">
        <v>44896</v>
      </c>
      <c r="B338" s="11">
        <v>226.49258</v>
      </c>
      <c r="C338" s="11">
        <v>212.05608000000001</v>
      </c>
    </row>
    <row r="339" spans="1:3" x14ac:dyDescent="0.3">
      <c r="A339" s="7">
        <v>44897</v>
      </c>
      <c r="B339" s="11">
        <v>226.69023999999999</v>
      </c>
      <c r="C339" s="11">
        <v>212.19093000000001</v>
      </c>
    </row>
    <row r="340" spans="1:3" x14ac:dyDescent="0.3">
      <c r="A340" s="7">
        <v>44898</v>
      </c>
      <c r="B340" s="11">
        <v>226.71342000000001</v>
      </c>
      <c r="C340" s="11">
        <v>212.21493000000001</v>
      </c>
    </row>
    <row r="341" spans="1:3" x14ac:dyDescent="0.3">
      <c r="A341" s="7">
        <v>44899</v>
      </c>
      <c r="B341" s="11">
        <v>226.73731000000001</v>
      </c>
      <c r="C341" s="11">
        <v>212.23901000000001</v>
      </c>
    </row>
    <row r="342" spans="1:3" x14ac:dyDescent="0.3">
      <c r="A342" s="7">
        <v>44900</v>
      </c>
      <c r="B342" s="11">
        <v>226.85941</v>
      </c>
      <c r="C342" s="11">
        <v>212.32751999999999</v>
      </c>
    </row>
    <row r="343" spans="1:3" x14ac:dyDescent="0.3">
      <c r="A343" s="7">
        <v>44901</v>
      </c>
      <c r="B343" s="11">
        <v>226.80324999999999</v>
      </c>
      <c r="C343" s="11">
        <v>212.32872</v>
      </c>
    </row>
    <row r="344" spans="1:3" x14ac:dyDescent="0.3">
      <c r="A344" s="7">
        <v>44902</v>
      </c>
      <c r="B344" s="11">
        <v>226.68496999999999</v>
      </c>
      <c r="C344" s="11">
        <v>212.31389999999999</v>
      </c>
    </row>
    <row r="345" spans="1:3" x14ac:dyDescent="0.3">
      <c r="A345" s="7">
        <v>44903</v>
      </c>
      <c r="B345" s="11">
        <v>226.69744</v>
      </c>
      <c r="C345" s="11">
        <v>212.34026</v>
      </c>
    </row>
    <row r="346" spans="1:3" x14ac:dyDescent="0.3">
      <c r="A346" s="7">
        <v>44904</v>
      </c>
      <c r="B346" s="11">
        <v>226.89071000000001</v>
      </c>
      <c r="C346" s="11">
        <v>212.42726999999999</v>
      </c>
    </row>
    <row r="347" spans="1:3" x14ac:dyDescent="0.3">
      <c r="A347" s="7">
        <v>44905</v>
      </c>
      <c r="B347" s="11">
        <v>226.91148000000001</v>
      </c>
      <c r="C347" s="11">
        <v>212.45062999999999</v>
      </c>
    </row>
    <row r="348" spans="1:3" x14ac:dyDescent="0.3">
      <c r="A348" s="7">
        <v>44906</v>
      </c>
      <c r="B348" s="11">
        <v>226.93536</v>
      </c>
      <c r="C348" s="11">
        <v>212.47457</v>
      </c>
    </row>
    <row r="349" spans="1:3" x14ac:dyDescent="0.3">
      <c r="A349" s="7">
        <v>44907</v>
      </c>
      <c r="B349" s="11">
        <v>226.9881</v>
      </c>
      <c r="C349" s="11">
        <v>212.52489</v>
      </c>
    </row>
    <row r="350" spans="1:3" x14ac:dyDescent="0.3">
      <c r="A350" s="7">
        <v>44908</v>
      </c>
      <c r="B350" s="11">
        <v>227.00761</v>
      </c>
      <c r="C350" s="11">
        <v>212.56578999999999</v>
      </c>
    </row>
    <row r="351" spans="1:3" x14ac:dyDescent="0.3">
      <c r="A351" s="7">
        <v>44909</v>
      </c>
      <c r="B351" s="11">
        <v>227.39741000000001</v>
      </c>
      <c r="C351" s="11">
        <v>212.71833000000001</v>
      </c>
    </row>
    <row r="352" spans="1:3" x14ac:dyDescent="0.3">
      <c r="A352" s="7">
        <v>44910</v>
      </c>
      <c r="B352" s="11">
        <v>227.47030000000001</v>
      </c>
      <c r="C352" s="11">
        <v>212.77689000000001</v>
      </c>
    </row>
    <row r="353" spans="1:3" x14ac:dyDescent="0.3">
      <c r="A353" s="7">
        <v>44911</v>
      </c>
      <c r="B353" s="11">
        <v>227.49332000000001</v>
      </c>
      <c r="C353" s="11">
        <v>212.82087000000001</v>
      </c>
    </row>
    <row r="354" spans="1:3" x14ac:dyDescent="0.3">
      <c r="A354" s="7">
        <v>44912</v>
      </c>
      <c r="B354" s="11">
        <v>227.51680999999999</v>
      </c>
      <c r="C354" s="11">
        <v>212.84440000000001</v>
      </c>
    </row>
    <row r="355" spans="1:3" x14ac:dyDescent="0.3">
      <c r="A355" s="7">
        <v>44913</v>
      </c>
      <c r="B355" s="11">
        <v>227.5403</v>
      </c>
      <c r="C355" s="11">
        <v>212.86795000000001</v>
      </c>
    </row>
    <row r="356" spans="1:3" x14ac:dyDescent="0.3">
      <c r="A356" s="7">
        <v>44914</v>
      </c>
      <c r="B356" s="11">
        <v>227.56666999999999</v>
      </c>
      <c r="C356" s="11">
        <v>212.9127</v>
      </c>
    </row>
    <row r="357" spans="1:3" x14ac:dyDescent="0.3">
      <c r="A357" s="7">
        <v>44915</v>
      </c>
      <c r="B357" s="11">
        <v>227.11940999999999</v>
      </c>
      <c r="C357" s="11">
        <v>212.80323999999999</v>
      </c>
    </row>
    <row r="358" spans="1:3" x14ac:dyDescent="0.3">
      <c r="A358" s="7">
        <v>44916</v>
      </c>
      <c r="B358" s="11">
        <v>227.37418</v>
      </c>
      <c r="C358" s="11">
        <v>212.93128999999999</v>
      </c>
    </row>
    <row r="359" spans="1:3" x14ac:dyDescent="0.3">
      <c r="A359" s="7">
        <v>44917</v>
      </c>
      <c r="B359" s="11">
        <v>227.62728999999999</v>
      </c>
      <c r="C359" s="11">
        <v>213.06554</v>
      </c>
    </row>
    <row r="360" spans="1:3" x14ac:dyDescent="0.3">
      <c r="A360" s="7">
        <v>44918</v>
      </c>
      <c r="B360" s="11">
        <v>227.48615000000001</v>
      </c>
      <c r="C360" s="11">
        <v>213.04146</v>
      </c>
    </row>
    <row r="361" spans="1:3" x14ac:dyDescent="0.3">
      <c r="A361" s="7">
        <v>44919</v>
      </c>
      <c r="B361" s="11">
        <v>227.50985</v>
      </c>
      <c r="C361" s="11">
        <v>213.06491</v>
      </c>
    </row>
    <row r="362" spans="1:3" x14ac:dyDescent="0.3">
      <c r="A362" s="7">
        <v>44920</v>
      </c>
      <c r="B362" s="11">
        <v>227.53355999999999</v>
      </c>
      <c r="C362" s="11">
        <v>213.08835999999999</v>
      </c>
    </row>
    <row r="363" spans="1:3" x14ac:dyDescent="0.3">
      <c r="A363" s="7">
        <v>44921</v>
      </c>
      <c r="B363" s="11">
        <v>227.43611000000001</v>
      </c>
      <c r="C363" s="11">
        <v>213.11143999999999</v>
      </c>
    </row>
    <row r="364" spans="1:3" x14ac:dyDescent="0.3">
      <c r="A364" s="7">
        <v>44922</v>
      </c>
      <c r="B364" s="11">
        <v>227.54956000000001</v>
      </c>
      <c r="C364" s="11">
        <v>213.1944</v>
      </c>
    </row>
    <row r="365" spans="1:3" x14ac:dyDescent="0.3">
      <c r="A365" s="7">
        <v>44923</v>
      </c>
      <c r="B365" s="11">
        <v>227.56575000000001</v>
      </c>
      <c r="C365" s="11">
        <v>213.24721</v>
      </c>
    </row>
    <row r="366" spans="1:3" x14ac:dyDescent="0.3">
      <c r="A366" s="7">
        <v>44924</v>
      </c>
      <c r="B366" s="11">
        <v>227.49030999999999</v>
      </c>
      <c r="C366" s="11">
        <v>213.27259000000001</v>
      </c>
    </row>
    <row r="367" spans="1:3" x14ac:dyDescent="0.3">
      <c r="A367" s="7">
        <v>44925</v>
      </c>
      <c r="B367" s="11">
        <v>227.51467</v>
      </c>
      <c r="C367" s="11">
        <v>213.29639</v>
      </c>
    </row>
    <row r="368" spans="1:3" x14ac:dyDescent="0.3">
      <c r="A368" s="7">
        <v>44926</v>
      </c>
      <c r="B368" s="11">
        <v>227.53846999999999</v>
      </c>
      <c r="C368" s="11">
        <v>213.31961999999999</v>
      </c>
    </row>
    <row r="369" spans="1:3" x14ac:dyDescent="0.3">
      <c r="A369" s="7">
        <v>44927</v>
      </c>
      <c r="B369" s="11">
        <v>227.56227999999999</v>
      </c>
      <c r="C369" s="11">
        <v>213.34285</v>
      </c>
    </row>
    <row r="370" spans="1:3" x14ac:dyDescent="0.3">
      <c r="A370" s="7">
        <v>44928</v>
      </c>
      <c r="B370" s="11">
        <v>227.49794</v>
      </c>
      <c r="C370" s="11">
        <v>213.36508000000001</v>
      </c>
    </row>
    <row r="371" spans="1:3" x14ac:dyDescent="0.3">
      <c r="A371" s="7">
        <v>44929</v>
      </c>
      <c r="B371" s="11">
        <v>227.90727000000001</v>
      </c>
      <c r="C371" s="11">
        <v>213.57126</v>
      </c>
    </row>
    <row r="372" spans="1:3" x14ac:dyDescent="0.3">
      <c r="A372" s="7">
        <v>44930</v>
      </c>
      <c r="B372" s="11">
        <v>228.18737999999999</v>
      </c>
      <c r="C372" s="11">
        <v>213.73665</v>
      </c>
    </row>
    <row r="373" spans="1:3" x14ac:dyDescent="0.3">
      <c r="A373" s="7">
        <v>44931</v>
      </c>
      <c r="B373" s="11">
        <v>228.17936</v>
      </c>
      <c r="C373" s="11">
        <v>213.78577999999999</v>
      </c>
    </row>
    <row r="374" spans="1:3" x14ac:dyDescent="0.3">
      <c r="A374" s="7">
        <v>44932</v>
      </c>
      <c r="B374" s="11">
        <v>228.16292999999999</v>
      </c>
      <c r="C374" s="11">
        <v>213.83383000000001</v>
      </c>
    </row>
    <row r="375" spans="1:3" x14ac:dyDescent="0.3">
      <c r="A375" s="7">
        <v>44933</v>
      </c>
      <c r="B375" s="11">
        <v>228.18475000000001</v>
      </c>
      <c r="C375" s="11">
        <v>213.85590999999999</v>
      </c>
    </row>
    <row r="376" spans="1:3" x14ac:dyDescent="0.3">
      <c r="A376" s="7">
        <v>44934</v>
      </c>
      <c r="B376" s="11">
        <v>228.20657</v>
      </c>
      <c r="C376" s="11">
        <v>213.87799999999999</v>
      </c>
    </row>
    <row r="377" spans="1:3" x14ac:dyDescent="0.3">
      <c r="A377" s="7">
        <v>44935</v>
      </c>
      <c r="B377" s="11">
        <v>228.71541999999999</v>
      </c>
      <c r="C377" s="11">
        <v>214.09925999999999</v>
      </c>
    </row>
    <row r="378" spans="1:3" x14ac:dyDescent="0.3">
      <c r="A378" s="7">
        <v>44936</v>
      </c>
      <c r="B378" s="11">
        <v>228.7672</v>
      </c>
      <c r="C378" s="11">
        <v>214.13856999999999</v>
      </c>
    </row>
    <row r="379" spans="1:3" x14ac:dyDescent="0.3">
      <c r="A379" s="7">
        <v>44937</v>
      </c>
      <c r="B379" s="11">
        <v>229.17912999999999</v>
      </c>
      <c r="C379" s="11">
        <v>214.30618999999999</v>
      </c>
    </row>
    <row r="380" spans="1:3" x14ac:dyDescent="0.3">
      <c r="A380" s="7">
        <v>44938</v>
      </c>
      <c r="B380" s="11">
        <v>229.14948000000001</v>
      </c>
      <c r="C380" s="11">
        <v>214.32579999999999</v>
      </c>
    </row>
    <row r="381" spans="1:3" x14ac:dyDescent="0.3">
      <c r="A381" s="7">
        <v>44939</v>
      </c>
      <c r="B381" s="11">
        <v>229.51949999999999</v>
      </c>
      <c r="C381" s="11">
        <v>214.45851999999999</v>
      </c>
    </row>
    <row r="382" spans="1:3" x14ac:dyDescent="0.3">
      <c r="A382" s="7">
        <v>44940</v>
      </c>
      <c r="B382" s="11">
        <v>229.54006000000001</v>
      </c>
      <c r="C382" s="11">
        <v>214.47977</v>
      </c>
    </row>
    <row r="383" spans="1:3" x14ac:dyDescent="0.3">
      <c r="A383" s="7">
        <v>44941</v>
      </c>
      <c r="B383" s="11">
        <v>229.56063</v>
      </c>
      <c r="C383" s="11">
        <v>214.50102000000001</v>
      </c>
    </row>
    <row r="384" spans="1:3" x14ac:dyDescent="0.3">
      <c r="A384" s="7">
        <v>44942</v>
      </c>
      <c r="B384" s="11">
        <v>229.33561</v>
      </c>
      <c r="C384" s="11">
        <v>214.46833000000001</v>
      </c>
    </row>
    <row r="385" spans="1:3" x14ac:dyDescent="0.3">
      <c r="A385" s="7">
        <v>44943</v>
      </c>
      <c r="B385" s="11">
        <v>229.26514</v>
      </c>
      <c r="C385" s="11">
        <v>214.49596</v>
      </c>
    </row>
    <row r="386" spans="1:3" x14ac:dyDescent="0.3">
      <c r="A386" s="7">
        <v>44944</v>
      </c>
      <c r="B386" s="11">
        <v>229.62961999999999</v>
      </c>
      <c r="C386" s="11">
        <v>214.66301999999999</v>
      </c>
    </row>
    <row r="387" spans="1:3" x14ac:dyDescent="0.3">
      <c r="A387" s="7">
        <v>44945</v>
      </c>
      <c r="B387" s="11">
        <v>230.01625000000001</v>
      </c>
      <c r="C387" s="11">
        <v>214.82268999999999</v>
      </c>
    </row>
    <row r="388" spans="1:3" x14ac:dyDescent="0.3">
      <c r="A388" s="7">
        <v>44946</v>
      </c>
      <c r="B388" s="11">
        <v>229.87123</v>
      </c>
      <c r="C388" s="11">
        <v>214.79413</v>
      </c>
    </row>
    <row r="389" spans="1:3" x14ac:dyDescent="0.3">
      <c r="A389" s="7">
        <v>44947</v>
      </c>
      <c r="B389" s="11">
        <v>229.89153999999999</v>
      </c>
      <c r="C389" s="11">
        <v>214.81491</v>
      </c>
    </row>
    <row r="390" spans="1:3" x14ac:dyDescent="0.3">
      <c r="A390" s="7">
        <v>44948</v>
      </c>
      <c r="B390" s="11">
        <v>229.91184999999999</v>
      </c>
      <c r="C390" s="11">
        <v>214.83569</v>
      </c>
    </row>
    <row r="391" spans="1:3" x14ac:dyDescent="0.3">
      <c r="A391" s="7">
        <v>44949</v>
      </c>
      <c r="B391" s="11">
        <v>229.93216000000001</v>
      </c>
      <c r="C391" s="11">
        <v>214.85647</v>
      </c>
    </row>
    <row r="392" spans="1:3" x14ac:dyDescent="0.3">
      <c r="A392" s="7">
        <v>44950</v>
      </c>
      <c r="B392" s="11">
        <v>229.95248000000001</v>
      </c>
      <c r="C392" s="11">
        <v>214.87726000000001</v>
      </c>
    </row>
    <row r="393" spans="1:3" x14ac:dyDescent="0.3">
      <c r="A393" s="7">
        <v>44951</v>
      </c>
      <c r="B393" s="11">
        <v>230.10034999999999</v>
      </c>
      <c r="C393" s="11">
        <v>214.95853</v>
      </c>
    </row>
    <row r="394" spans="1:3" x14ac:dyDescent="0.3">
      <c r="A394" s="7">
        <v>44952</v>
      </c>
      <c r="B394" s="11">
        <v>230.14792</v>
      </c>
      <c r="C394" s="11">
        <v>214.99373</v>
      </c>
    </row>
    <row r="395" spans="1:3" x14ac:dyDescent="0.3">
      <c r="A395" s="7">
        <v>44953</v>
      </c>
      <c r="B395" s="11">
        <v>230.05416</v>
      </c>
      <c r="C395" s="11">
        <v>215.00450000000001</v>
      </c>
    </row>
    <row r="396" spans="1:3" x14ac:dyDescent="0.3">
      <c r="A396" s="7">
        <v>44954</v>
      </c>
      <c r="B396" s="11">
        <v>230.07444000000001</v>
      </c>
      <c r="C396" s="11">
        <v>215.02506</v>
      </c>
    </row>
    <row r="397" spans="1:3" x14ac:dyDescent="0.3">
      <c r="A397" s="7">
        <v>44955</v>
      </c>
      <c r="B397" s="11">
        <v>230.09472</v>
      </c>
      <c r="C397" s="11">
        <v>215.04563999999999</v>
      </c>
    </row>
    <row r="398" spans="1:3" x14ac:dyDescent="0.3">
      <c r="A398" s="7">
        <v>44956</v>
      </c>
      <c r="B398" s="11">
        <v>230.26465999999999</v>
      </c>
      <c r="C398" s="11">
        <v>215.13490999999999</v>
      </c>
    </row>
    <row r="399" spans="1:3" x14ac:dyDescent="0.3">
      <c r="A399" s="7">
        <v>44957</v>
      </c>
      <c r="B399" s="11">
        <v>230.17018999999999</v>
      </c>
      <c r="C399" s="11">
        <v>215.15342999999999</v>
      </c>
    </row>
    <row r="400" spans="1:3" x14ac:dyDescent="0.3">
      <c r="A400" s="7">
        <v>44958</v>
      </c>
      <c r="B400" s="11">
        <v>230.33673999999999</v>
      </c>
      <c r="C400" s="11">
        <v>215.24392</v>
      </c>
    </row>
    <row r="401" spans="1:3" x14ac:dyDescent="0.3">
      <c r="A401" s="7">
        <v>44959</v>
      </c>
      <c r="B401" s="11">
        <v>230.60785999999999</v>
      </c>
      <c r="C401" s="11">
        <v>215.37831</v>
      </c>
    </row>
    <row r="402" spans="1:3" x14ac:dyDescent="0.3">
      <c r="A402" s="7">
        <v>44960</v>
      </c>
      <c r="B402" s="11">
        <v>230.91174000000001</v>
      </c>
      <c r="C402" s="11">
        <v>215.51940999999999</v>
      </c>
    </row>
    <row r="403" spans="1:3" x14ac:dyDescent="0.3">
      <c r="A403" s="7">
        <v>44961</v>
      </c>
      <c r="B403" s="11">
        <v>230.93117000000001</v>
      </c>
      <c r="C403" s="11">
        <v>215.53917000000001</v>
      </c>
    </row>
    <row r="404" spans="1:3" x14ac:dyDescent="0.3">
      <c r="A404" s="7">
        <v>44962</v>
      </c>
      <c r="B404" s="11">
        <v>230.95060000000001</v>
      </c>
      <c r="C404" s="11">
        <v>215.55895000000001</v>
      </c>
    </row>
    <row r="405" spans="1:3" x14ac:dyDescent="0.3">
      <c r="A405" s="7">
        <v>44963</v>
      </c>
      <c r="B405" s="11">
        <v>230.38807</v>
      </c>
      <c r="C405" s="11">
        <v>215.40926999999999</v>
      </c>
    </row>
    <row r="406" spans="1:3" x14ac:dyDescent="0.3">
      <c r="A406" s="7">
        <v>44964</v>
      </c>
      <c r="B406" s="11">
        <v>230.44818000000001</v>
      </c>
      <c r="C406" s="11">
        <v>215.45868999999999</v>
      </c>
    </row>
    <row r="407" spans="1:3" x14ac:dyDescent="0.3">
      <c r="A407" s="7">
        <v>44965</v>
      </c>
      <c r="B407" s="11">
        <v>230.40300999999999</v>
      </c>
      <c r="C407" s="11">
        <v>215.47114999999999</v>
      </c>
    </row>
    <row r="408" spans="1:3" x14ac:dyDescent="0.3">
      <c r="A408" s="7">
        <v>44966</v>
      </c>
      <c r="B408" s="11">
        <v>230.18289999999999</v>
      </c>
      <c r="C408" s="11">
        <v>215.41869</v>
      </c>
    </row>
    <row r="409" spans="1:3" x14ac:dyDescent="0.3">
      <c r="A409" s="7">
        <v>44967</v>
      </c>
      <c r="B409" s="11">
        <v>230.23482000000001</v>
      </c>
      <c r="C409" s="11">
        <v>215.44684000000001</v>
      </c>
    </row>
    <row r="410" spans="1:3" x14ac:dyDescent="0.3">
      <c r="A410" s="7">
        <v>44968</v>
      </c>
      <c r="B410" s="11">
        <v>230.25521000000001</v>
      </c>
      <c r="C410" s="11">
        <v>215.46701999999999</v>
      </c>
    </row>
    <row r="411" spans="1:3" x14ac:dyDescent="0.3">
      <c r="A411" s="7">
        <v>44969</v>
      </c>
      <c r="B411" s="11">
        <v>230.27558999999999</v>
      </c>
      <c r="C411" s="11">
        <v>215.4872</v>
      </c>
    </row>
    <row r="412" spans="1:3" x14ac:dyDescent="0.3">
      <c r="A412" s="7">
        <v>44970</v>
      </c>
      <c r="B412" s="11">
        <v>230.1216</v>
      </c>
      <c r="C412" s="11">
        <v>215.43482</v>
      </c>
    </row>
    <row r="413" spans="1:3" x14ac:dyDescent="0.3">
      <c r="A413" s="7">
        <v>44971</v>
      </c>
      <c r="B413" s="11">
        <v>230.22684000000001</v>
      </c>
      <c r="C413" s="11">
        <v>215.46561</v>
      </c>
    </row>
    <row r="414" spans="1:3" x14ac:dyDescent="0.3">
      <c r="A414" s="7">
        <v>44972</v>
      </c>
      <c r="B414" s="11">
        <v>229.9641</v>
      </c>
      <c r="C414" s="11">
        <v>215.38750999999999</v>
      </c>
    </row>
    <row r="415" spans="1:3" x14ac:dyDescent="0.3">
      <c r="A415" s="7">
        <v>44973</v>
      </c>
      <c r="B415" s="11">
        <v>229.98174</v>
      </c>
      <c r="C415" s="11">
        <v>215.39392000000001</v>
      </c>
    </row>
    <row r="416" spans="1:3" x14ac:dyDescent="0.3">
      <c r="A416" s="7">
        <v>44974</v>
      </c>
      <c r="B416" s="11">
        <v>229.54104000000001</v>
      </c>
      <c r="C416" s="11">
        <v>215.23472000000001</v>
      </c>
    </row>
    <row r="417" spans="1:3" x14ac:dyDescent="0.3">
      <c r="A417" s="7">
        <v>44975</v>
      </c>
      <c r="B417" s="11">
        <v>229.56255999999999</v>
      </c>
      <c r="C417" s="11">
        <v>215.25579999999999</v>
      </c>
    </row>
    <row r="418" spans="1:3" x14ac:dyDescent="0.3">
      <c r="A418" s="7">
        <v>44976</v>
      </c>
      <c r="B418" s="11">
        <v>229.58408</v>
      </c>
      <c r="C418" s="11">
        <v>215.27690000000001</v>
      </c>
    </row>
    <row r="419" spans="1:3" x14ac:dyDescent="0.3">
      <c r="A419" s="7">
        <v>44977</v>
      </c>
      <c r="B419" s="11">
        <v>229.41431</v>
      </c>
      <c r="C419" s="11">
        <v>215.21868000000001</v>
      </c>
    </row>
    <row r="420" spans="1:3" x14ac:dyDescent="0.3">
      <c r="A420" s="7">
        <v>44978</v>
      </c>
      <c r="B420" s="11">
        <v>229.64359999999999</v>
      </c>
      <c r="C420" s="11">
        <v>215.31447</v>
      </c>
    </row>
    <row r="421" spans="1:3" x14ac:dyDescent="0.3">
      <c r="A421" s="7">
        <v>44979</v>
      </c>
      <c r="B421" s="11">
        <v>229.59195</v>
      </c>
      <c r="C421" s="11">
        <v>215.29429999999999</v>
      </c>
    </row>
    <row r="422" spans="1:3" x14ac:dyDescent="0.3">
      <c r="A422" s="7">
        <v>44980</v>
      </c>
      <c r="B422" s="11">
        <v>229.70312000000001</v>
      </c>
      <c r="C422" s="11">
        <v>215.34157999999999</v>
      </c>
    </row>
    <row r="423" spans="1:3" x14ac:dyDescent="0.3">
      <c r="A423" s="7">
        <v>44981</v>
      </c>
      <c r="B423" s="11">
        <v>229.89328</v>
      </c>
      <c r="C423" s="11">
        <v>215.41175999999999</v>
      </c>
    </row>
    <row r="424" spans="1:3" x14ac:dyDescent="0.3">
      <c r="A424" s="7">
        <v>44982</v>
      </c>
      <c r="B424" s="11">
        <v>229.91462999999999</v>
      </c>
      <c r="C424" s="11">
        <v>215.43290999999999</v>
      </c>
    </row>
    <row r="425" spans="1:3" x14ac:dyDescent="0.3">
      <c r="A425" s="7">
        <v>44983</v>
      </c>
      <c r="B425" s="11">
        <v>229.93598</v>
      </c>
      <c r="C425" s="11">
        <v>215.45407</v>
      </c>
    </row>
    <row r="426" spans="1:3" x14ac:dyDescent="0.3">
      <c r="A426" s="7">
        <v>44984</v>
      </c>
      <c r="B426" s="11">
        <v>229.47059999999999</v>
      </c>
      <c r="C426" s="11">
        <v>215.28720000000001</v>
      </c>
    </row>
    <row r="427" spans="1:3" x14ac:dyDescent="0.3">
      <c r="A427" s="7">
        <v>44985</v>
      </c>
      <c r="B427" s="11">
        <v>229.14417</v>
      </c>
      <c r="C427" s="11">
        <v>215.20821000000001</v>
      </c>
    </row>
    <row r="428" spans="1:3" x14ac:dyDescent="0.3">
      <c r="A428" s="7">
        <v>44986</v>
      </c>
      <c r="B428" s="11">
        <v>229.16657000000001</v>
      </c>
      <c r="C428" s="11">
        <v>215.22996000000001</v>
      </c>
    </row>
    <row r="429" spans="1:3" x14ac:dyDescent="0.3">
      <c r="A429" s="7">
        <v>44987</v>
      </c>
      <c r="B429" s="11">
        <v>229.0008</v>
      </c>
      <c r="C429" s="11">
        <v>215.18572</v>
      </c>
    </row>
    <row r="430" spans="1:3" x14ac:dyDescent="0.3">
      <c r="A430" s="7">
        <v>44988</v>
      </c>
      <c r="B430" s="11">
        <v>229.30055999999999</v>
      </c>
      <c r="C430" s="11">
        <v>215.31133</v>
      </c>
    </row>
    <row r="431" spans="1:3" x14ac:dyDescent="0.3">
      <c r="A431" s="7">
        <v>44989</v>
      </c>
      <c r="B431" s="11">
        <v>229.32293000000001</v>
      </c>
      <c r="C431" s="11">
        <v>215.33319</v>
      </c>
    </row>
    <row r="432" spans="1:3" x14ac:dyDescent="0.3">
      <c r="A432" s="7">
        <v>44990</v>
      </c>
      <c r="B432" s="11">
        <v>229.34530000000001</v>
      </c>
      <c r="C432" s="11">
        <v>215.35505000000001</v>
      </c>
    </row>
    <row r="433" spans="1:3" x14ac:dyDescent="0.3">
      <c r="A433" s="7">
        <v>44991</v>
      </c>
      <c r="B433" s="11">
        <v>229.48568</v>
      </c>
      <c r="C433" s="11">
        <v>215.43402</v>
      </c>
    </row>
    <row r="434" spans="1:3" x14ac:dyDescent="0.3">
      <c r="A434" s="7">
        <v>44992</v>
      </c>
      <c r="B434" s="11">
        <v>229.67124999999999</v>
      </c>
      <c r="C434" s="11">
        <v>215.52153000000001</v>
      </c>
    </row>
    <row r="435" spans="1:3" x14ac:dyDescent="0.3">
      <c r="A435" s="7">
        <v>44993</v>
      </c>
      <c r="B435" s="11">
        <v>229.26363000000001</v>
      </c>
      <c r="C435" s="11">
        <v>215.36482000000001</v>
      </c>
    </row>
    <row r="436" spans="1:3" x14ac:dyDescent="0.3">
      <c r="A436" s="7">
        <v>44994</v>
      </c>
      <c r="B436" s="11">
        <v>229.34906000000001</v>
      </c>
      <c r="C436" s="11">
        <v>215.41061999999999</v>
      </c>
    </row>
    <row r="437" spans="1:3" x14ac:dyDescent="0.3">
      <c r="A437" s="7">
        <v>44995</v>
      </c>
      <c r="B437" s="11">
        <v>229.84116</v>
      </c>
      <c r="C437" s="11">
        <v>215.61190999999999</v>
      </c>
    </row>
    <row r="438" spans="1:3" x14ac:dyDescent="0.3">
      <c r="A438" s="7">
        <v>44996</v>
      </c>
      <c r="B438" s="11">
        <v>229.86287999999999</v>
      </c>
      <c r="C438" s="11">
        <v>215.63341</v>
      </c>
    </row>
    <row r="439" spans="1:3" x14ac:dyDescent="0.3">
      <c r="A439" s="7">
        <v>44997</v>
      </c>
      <c r="B439" s="11">
        <v>229.88462000000001</v>
      </c>
      <c r="C439" s="11">
        <v>215.65491</v>
      </c>
    </row>
    <row r="440" spans="1:3" x14ac:dyDescent="0.3">
      <c r="A440" s="7">
        <v>44998</v>
      </c>
      <c r="B440" s="11">
        <v>230.80408</v>
      </c>
      <c r="C440" s="11">
        <v>216.041</v>
      </c>
    </row>
    <row r="441" spans="1:3" x14ac:dyDescent="0.3">
      <c r="A441" s="7">
        <v>44999</v>
      </c>
      <c r="B441" s="11">
        <v>230.94195999999999</v>
      </c>
      <c r="C441" s="11">
        <v>216.11616000000001</v>
      </c>
    </row>
    <row r="442" spans="1:3" x14ac:dyDescent="0.3">
      <c r="A442" s="7">
        <v>45000</v>
      </c>
      <c r="B442" s="11">
        <v>230.79064</v>
      </c>
      <c r="C442" s="11">
        <v>216.09432000000001</v>
      </c>
    </row>
    <row r="443" spans="1:3" x14ac:dyDescent="0.3">
      <c r="A443" s="7">
        <v>45001</v>
      </c>
      <c r="B443" s="11">
        <v>231.01139000000001</v>
      </c>
      <c r="C443" s="11">
        <v>216.20213000000001</v>
      </c>
    </row>
    <row r="444" spans="1:3" x14ac:dyDescent="0.3">
      <c r="A444" s="7">
        <v>45002</v>
      </c>
      <c r="B444" s="11">
        <v>231.05223000000001</v>
      </c>
      <c r="C444" s="11">
        <v>216.23939999999999</v>
      </c>
    </row>
    <row r="445" spans="1:3" x14ac:dyDescent="0.3">
      <c r="A445" s="7">
        <v>45003</v>
      </c>
      <c r="B445" s="11">
        <v>231.07255000000001</v>
      </c>
      <c r="C445" s="11">
        <v>216.25979000000001</v>
      </c>
    </row>
    <row r="446" spans="1:3" x14ac:dyDescent="0.3">
      <c r="A446" s="7">
        <v>45004</v>
      </c>
      <c r="B446" s="11">
        <v>231.09289000000001</v>
      </c>
      <c r="C446" s="11">
        <v>216.28019</v>
      </c>
    </row>
    <row r="447" spans="1:3" x14ac:dyDescent="0.3">
      <c r="A447" s="7">
        <v>45005</v>
      </c>
      <c r="B447" s="11">
        <v>231.62221</v>
      </c>
      <c r="C447" s="11">
        <v>216.49790999999999</v>
      </c>
    </row>
    <row r="448" spans="1:3" x14ac:dyDescent="0.3">
      <c r="A448" s="7">
        <v>45006</v>
      </c>
      <c r="B448" s="11">
        <v>231.43455</v>
      </c>
      <c r="C448" s="11">
        <v>216.41345000000001</v>
      </c>
    </row>
    <row r="449" spans="1:3" x14ac:dyDescent="0.3">
      <c r="A449" s="7">
        <v>45007</v>
      </c>
      <c r="B449" s="11">
        <v>231.58843999999999</v>
      </c>
      <c r="C449" s="11">
        <v>216.47626</v>
      </c>
    </row>
    <row r="450" spans="1:3" x14ac:dyDescent="0.3">
      <c r="A450" s="7">
        <v>45008</v>
      </c>
      <c r="B450" s="11">
        <v>231.69667000000001</v>
      </c>
      <c r="C450" s="11">
        <v>216.51079999999999</v>
      </c>
    </row>
    <row r="451" spans="1:3" x14ac:dyDescent="0.3">
      <c r="A451" s="7">
        <v>45009</v>
      </c>
      <c r="B451" s="11">
        <v>231.84614999999999</v>
      </c>
      <c r="C451" s="11">
        <v>216.57353000000001</v>
      </c>
    </row>
    <row r="452" spans="1:3" x14ac:dyDescent="0.3">
      <c r="A452" s="7">
        <v>45010</v>
      </c>
      <c r="B452" s="11">
        <v>231.86572000000001</v>
      </c>
      <c r="C452" s="11">
        <v>216.59359000000001</v>
      </c>
    </row>
    <row r="453" spans="1:3" x14ac:dyDescent="0.3">
      <c r="A453" s="7">
        <v>45011</v>
      </c>
      <c r="B453" s="11">
        <v>231.88531</v>
      </c>
      <c r="C453" s="11">
        <v>216.61364</v>
      </c>
    </row>
    <row r="454" spans="1:3" x14ac:dyDescent="0.3">
      <c r="A454" s="7">
        <v>45012</v>
      </c>
      <c r="B454" s="11">
        <v>231.72883999999999</v>
      </c>
      <c r="C454" s="11">
        <v>216.57709</v>
      </c>
    </row>
    <row r="455" spans="1:3" x14ac:dyDescent="0.3">
      <c r="A455" s="7">
        <v>45013</v>
      </c>
      <c r="B455" s="11">
        <v>231.6583</v>
      </c>
      <c r="C455" s="11">
        <v>216.56254999999999</v>
      </c>
    </row>
    <row r="456" spans="1:3" x14ac:dyDescent="0.3">
      <c r="A456" s="7">
        <v>45014</v>
      </c>
      <c r="B456" s="11">
        <v>231.79181</v>
      </c>
      <c r="C456" s="11">
        <v>216.64419000000001</v>
      </c>
    </row>
    <row r="457" spans="1:3" x14ac:dyDescent="0.3">
      <c r="A457" s="7">
        <v>45015</v>
      </c>
      <c r="B457" s="11">
        <v>231.81014999999999</v>
      </c>
      <c r="C457" s="11">
        <v>216.67825999999999</v>
      </c>
    </row>
    <row r="458" spans="1:3" x14ac:dyDescent="0.3">
      <c r="A458" s="7">
        <v>45016</v>
      </c>
      <c r="B458" s="11">
        <v>231.66174000000001</v>
      </c>
      <c r="C458" s="11">
        <v>216.64994999999999</v>
      </c>
    </row>
    <row r="459" spans="1:3" x14ac:dyDescent="0.3">
      <c r="A459" s="7">
        <v>45017</v>
      </c>
      <c r="B459" s="11">
        <v>231.68163000000001</v>
      </c>
      <c r="C459" s="11">
        <v>216.66997000000001</v>
      </c>
    </row>
    <row r="460" spans="1:3" x14ac:dyDescent="0.3">
      <c r="A460" s="7">
        <v>45018</v>
      </c>
      <c r="B460" s="11">
        <v>231.70147</v>
      </c>
      <c r="C460" s="11">
        <v>216.68996999999999</v>
      </c>
    </row>
    <row r="461" spans="1:3" x14ac:dyDescent="0.3">
      <c r="A461" s="7">
        <v>45019</v>
      </c>
      <c r="B461" s="11">
        <v>231.58940000000001</v>
      </c>
      <c r="C461" s="11">
        <v>216.66056</v>
      </c>
    </row>
    <row r="462" spans="1:3" x14ac:dyDescent="0.3">
      <c r="A462" s="7">
        <v>45020</v>
      </c>
      <c r="B462" s="11">
        <v>231.84111999999999</v>
      </c>
      <c r="C462" s="11">
        <v>216.76478</v>
      </c>
    </row>
    <row r="463" spans="1:3" x14ac:dyDescent="0.3">
      <c r="A463" s="7">
        <v>45021</v>
      </c>
      <c r="B463" s="11">
        <v>231.89265</v>
      </c>
      <c r="C463" s="11">
        <v>216.80566999999999</v>
      </c>
    </row>
    <row r="464" spans="1:3" x14ac:dyDescent="0.3">
      <c r="A464" s="7">
        <v>45022</v>
      </c>
      <c r="B464" s="11">
        <v>232.07112000000001</v>
      </c>
      <c r="C464" s="11">
        <v>216.89440999999999</v>
      </c>
    </row>
    <row r="465" spans="1:3" x14ac:dyDescent="0.3">
      <c r="A465" s="7">
        <v>45023</v>
      </c>
      <c r="B465" s="11">
        <v>232.03979000000001</v>
      </c>
      <c r="C465" s="11">
        <v>216.8991</v>
      </c>
    </row>
    <row r="466" spans="1:3" x14ac:dyDescent="0.3">
      <c r="A466" s="7">
        <v>45024</v>
      </c>
      <c r="B466" s="11">
        <v>232.06043</v>
      </c>
      <c r="C466" s="11">
        <v>216.91893999999999</v>
      </c>
    </row>
    <row r="467" spans="1:3" x14ac:dyDescent="0.3">
      <c r="A467" s="7">
        <v>45025</v>
      </c>
      <c r="B467" s="11">
        <v>232.08107000000001</v>
      </c>
      <c r="C467" s="11">
        <v>216.93876</v>
      </c>
    </row>
    <row r="468" spans="1:3" x14ac:dyDescent="0.3">
      <c r="A468" s="7">
        <v>45026</v>
      </c>
      <c r="B468" s="11">
        <v>232.30242000000001</v>
      </c>
      <c r="C468" s="11">
        <v>217.02852999999999</v>
      </c>
    </row>
    <row r="469" spans="1:3" x14ac:dyDescent="0.3">
      <c r="A469" s="7">
        <v>45027</v>
      </c>
      <c r="B469" s="11">
        <v>232.21902</v>
      </c>
      <c r="C469" s="11">
        <v>217.00815</v>
      </c>
    </row>
    <row r="470" spans="1:3" x14ac:dyDescent="0.3">
      <c r="A470" s="7">
        <v>45028</v>
      </c>
      <c r="B470" s="11">
        <v>232.10878</v>
      </c>
      <c r="C470" s="11">
        <v>216.98696000000001</v>
      </c>
    </row>
    <row r="471" spans="1:3" x14ac:dyDescent="0.3">
      <c r="A471" s="7">
        <v>45029</v>
      </c>
      <c r="B471" s="11">
        <v>232.27338</v>
      </c>
      <c r="C471" s="11">
        <v>217.06640999999999</v>
      </c>
    </row>
    <row r="472" spans="1:3" x14ac:dyDescent="0.3">
      <c r="A472" s="7">
        <v>45030</v>
      </c>
      <c r="B472" s="11">
        <v>232.29042999999999</v>
      </c>
      <c r="C472" s="11">
        <v>217.09360000000001</v>
      </c>
    </row>
    <row r="473" spans="1:3" x14ac:dyDescent="0.3">
      <c r="A473" s="7">
        <v>45031</v>
      </c>
      <c r="B473" s="11">
        <v>232.31094999999999</v>
      </c>
      <c r="C473" s="11">
        <v>217.11331000000001</v>
      </c>
    </row>
    <row r="474" spans="1:3" x14ac:dyDescent="0.3">
      <c r="A474" s="7">
        <v>45032</v>
      </c>
      <c r="B474" s="11">
        <v>232.33147</v>
      </c>
      <c r="C474" s="11">
        <v>217.13301999999999</v>
      </c>
    </row>
    <row r="475" spans="1:3" x14ac:dyDescent="0.3">
      <c r="A475" s="7">
        <v>45033</v>
      </c>
      <c r="B475" s="11">
        <v>232.07438999999999</v>
      </c>
      <c r="C475" s="11">
        <v>217.06375</v>
      </c>
    </row>
    <row r="476" spans="1:3" x14ac:dyDescent="0.3">
      <c r="A476" s="7">
        <v>45034</v>
      </c>
      <c r="B476" s="11">
        <v>232.09684999999999</v>
      </c>
      <c r="C476" s="11">
        <v>217.08590000000001</v>
      </c>
    </row>
    <row r="477" spans="1:3" x14ac:dyDescent="0.3">
      <c r="A477" s="7">
        <v>45035</v>
      </c>
      <c r="B477" s="11">
        <v>231.92884000000001</v>
      </c>
      <c r="C477" s="11">
        <v>217.03981999999999</v>
      </c>
    </row>
    <row r="478" spans="1:3" x14ac:dyDescent="0.3">
      <c r="A478" s="7">
        <v>45036</v>
      </c>
      <c r="B478" s="11">
        <v>232.02126000000001</v>
      </c>
      <c r="C478" s="11">
        <v>217.08993000000001</v>
      </c>
    </row>
    <row r="479" spans="1:3" x14ac:dyDescent="0.3">
      <c r="A479" s="7">
        <v>45037</v>
      </c>
      <c r="B479" s="11">
        <v>232.28210999999999</v>
      </c>
      <c r="C479" s="11">
        <v>217.18337</v>
      </c>
    </row>
    <row r="480" spans="1:3" x14ac:dyDescent="0.3">
      <c r="A480" s="7">
        <v>45038</v>
      </c>
      <c r="B480" s="11">
        <v>232.30279999999999</v>
      </c>
      <c r="C480" s="11">
        <v>217.20319000000001</v>
      </c>
    </row>
    <row r="481" spans="1:3" x14ac:dyDescent="0.3">
      <c r="A481" s="7">
        <v>45039</v>
      </c>
      <c r="B481" s="11">
        <v>232.32348999999999</v>
      </c>
      <c r="C481" s="11">
        <v>217.22301999999999</v>
      </c>
    </row>
    <row r="482" spans="1:3" x14ac:dyDescent="0.3">
      <c r="A482" s="7">
        <v>45040</v>
      </c>
      <c r="B482" s="11">
        <v>232.39178000000001</v>
      </c>
      <c r="C482" s="11">
        <v>217.25873999999999</v>
      </c>
    </row>
    <row r="483" spans="1:3" x14ac:dyDescent="0.3">
      <c r="A483" s="7">
        <v>45041</v>
      </c>
      <c r="B483" s="11">
        <v>232.25497999999999</v>
      </c>
      <c r="C483" s="11">
        <v>217.21521999999999</v>
      </c>
    </row>
    <row r="484" spans="1:3" x14ac:dyDescent="0.3">
      <c r="A484" s="7">
        <v>45042</v>
      </c>
      <c r="B484" s="11">
        <v>232.33359999999999</v>
      </c>
      <c r="C484" s="11">
        <v>217.24697</v>
      </c>
    </row>
    <row r="485" spans="1:3" x14ac:dyDescent="0.3">
      <c r="A485" s="7">
        <v>45043</v>
      </c>
      <c r="B485" s="11">
        <v>232.25583</v>
      </c>
      <c r="C485" s="11">
        <v>217.21931000000001</v>
      </c>
    </row>
    <row r="486" spans="1:3" x14ac:dyDescent="0.3">
      <c r="A486" s="7">
        <v>45044</v>
      </c>
      <c r="B486" s="11">
        <v>232.18835999999999</v>
      </c>
      <c r="C486" s="11">
        <v>217.20042000000001</v>
      </c>
    </row>
    <row r="487" spans="1:3" x14ac:dyDescent="0.3">
      <c r="A487" s="7">
        <v>45045</v>
      </c>
      <c r="B487" s="11">
        <v>232.20939999999999</v>
      </c>
      <c r="C487" s="11">
        <v>217.22057000000001</v>
      </c>
    </row>
    <row r="488" spans="1:3" x14ac:dyDescent="0.3">
      <c r="A488" s="7">
        <v>45046</v>
      </c>
      <c r="B488" s="11">
        <v>232.23043000000001</v>
      </c>
      <c r="C488" s="11">
        <v>217.24072000000001</v>
      </c>
    </row>
    <row r="489" spans="1:3" x14ac:dyDescent="0.3">
      <c r="A489" s="7">
        <v>45047</v>
      </c>
      <c r="B489" s="11">
        <v>232.25147999999999</v>
      </c>
      <c r="C489" s="11">
        <v>217.26087000000001</v>
      </c>
    </row>
    <row r="490" spans="1:3" x14ac:dyDescent="0.3">
      <c r="A490" s="7">
        <v>45048</v>
      </c>
      <c r="B490" s="11">
        <v>232.15405999999999</v>
      </c>
      <c r="C490" s="11">
        <v>217.22694000000001</v>
      </c>
    </row>
    <row r="491" spans="1:3" x14ac:dyDescent="0.3">
      <c r="A491" s="7">
        <v>45049</v>
      </c>
      <c r="B491" s="11">
        <v>232.36618000000001</v>
      </c>
      <c r="C491" s="11">
        <v>217.30224999999999</v>
      </c>
    </row>
    <row r="492" spans="1:3" x14ac:dyDescent="0.3">
      <c r="A492" s="7">
        <v>45050</v>
      </c>
      <c r="B492" s="11">
        <v>232.58788999999999</v>
      </c>
      <c r="C492" s="11">
        <v>217.37672000000001</v>
      </c>
    </row>
    <row r="493" spans="1:3" x14ac:dyDescent="0.3">
      <c r="A493" s="7">
        <v>45051</v>
      </c>
      <c r="B493" s="11">
        <v>232.60892999999999</v>
      </c>
      <c r="C493" s="11">
        <v>217.39678000000001</v>
      </c>
    </row>
    <row r="494" spans="1:3" x14ac:dyDescent="0.3">
      <c r="A494" s="7">
        <v>45052</v>
      </c>
      <c r="B494" s="11">
        <v>232.62997999999999</v>
      </c>
      <c r="C494" s="11">
        <v>217.41683</v>
      </c>
    </row>
    <row r="495" spans="1:3" x14ac:dyDescent="0.3">
      <c r="A495" s="7">
        <v>45053</v>
      </c>
      <c r="B495" s="11">
        <v>232.65103999999999</v>
      </c>
      <c r="C495" s="11">
        <v>217.43689000000001</v>
      </c>
    </row>
    <row r="496" spans="1:3" x14ac:dyDescent="0.3">
      <c r="A496" s="7">
        <v>45054</v>
      </c>
      <c r="B496" s="11">
        <v>232.50331</v>
      </c>
      <c r="C496" s="11">
        <v>217.40155999999999</v>
      </c>
    </row>
    <row r="497" spans="1:3" x14ac:dyDescent="0.3">
      <c r="A497" s="7">
        <v>45055</v>
      </c>
      <c r="B497" s="11">
        <v>232.51727</v>
      </c>
      <c r="C497" s="11">
        <v>217.41945999999999</v>
      </c>
    </row>
    <row r="498" spans="1:3" x14ac:dyDescent="0.3">
      <c r="A498" s="7">
        <v>45056</v>
      </c>
      <c r="B498" s="11">
        <v>232.49395999999999</v>
      </c>
      <c r="C498" s="11">
        <v>217.41396</v>
      </c>
    </row>
    <row r="499" spans="1:3" x14ac:dyDescent="0.3">
      <c r="A499" s="7">
        <v>45057</v>
      </c>
      <c r="B499" s="11">
        <v>232.68690000000001</v>
      </c>
      <c r="C499" s="11">
        <v>217.48679999999999</v>
      </c>
    </row>
    <row r="500" spans="1:3" x14ac:dyDescent="0.3">
      <c r="A500" s="7">
        <v>45058</v>
      </c>
      <c r="B500" s="11">
        <v>232.66103000000001</v>
      </c>
      <c r="C500" s="11">
        <v>217.48194000000001</v>
      </c>
    </row>
    <row r="501" spans="1:3" x14ac:dyDescent="0.3">
      <c r="A501" s="7">
        <v>45059</v>
      </c>
      <c r="B501" s="11">
        <v>232.68223</v>
      </c>
      <c r="C501" s="11">
        <v>217.50217000000001</v>
      </c>
    </row>
    <row r="502" spans="1:3" x14ac:dyDescent="0.3">
      <c r="A502" s="7">
        <v>45060</v>
      </c>
      <c r="B502" s="11">
        <v>232.70343</v>
      </c>
      <c r="C502" s="11">
        <v>217.5224</v>
      </c>
    </row>
    <row r="503" spans="1:3" x14ac:dyDescent="0.3">
      <c r="A503" s="7">
        <v>45061</v>
      </c>
      <c r="B503" s="11">
        <v>232.55032</v>
      </c>
      <c r="C503" s="11">
        <v>217.4667</v>
      </c>
    </row>
    <row r="504" spans="1:3" x14ac:dyDescent="0.3">
      <c r="A504" s="7">
        <v>45062</v>
      </c>
      <c r="B504" s="11">
        <v>232.70001999999999</v>
      </c>
      <c r="C504" s="11">
        <v>217.51113000000001</v>
      </c>
    </row>
    <row r="505" spans="1:3" x14ac:dyDescent="0.3">
      <c r="A505" s="7">
        <v>45063</v>
      </c>
      <c r="B505" s="11">
        <v>232.58412000000001</v>
      </c>
      <c r="C505" s="11">
        <v>217.48320000000001</v>
      </c>
    </row>
    <row r="506" spans="1:3" x14ac:dyDescent="0.3">
      <c r="A506" s="7">
        <v>45064</v>
      </c>
      <c r="B506" s="11">
        <v>232.45196000000001</v>
      </c>
      <c r="C506" s="11">
        <v>217.44229999999999</v>
      </c>
    </row>
    <row r="507" spans="1:3" x14ac:dyDescent="0.3">
      <c r="A507" s="7">
        <v>45065</v>
      </c>
      <c r="B507" s="11">
        <v>232.34916999999999</v>
      </c>
      <c r="C507" s="11">
        <v>217.42177000000001</v>
      </c>
    </row>
    <row r="508" spans="1:3" x14ac:dyDescent="0.3">
      <c r="A508" s="7">
        <v>45066</v>
      </c>
      <c r="B508" s="11">
        <v>232.37101000000001</v>
      </c>
      <c r="C508" s="11">
        <v>217.44255000000001</v>
      </c>
    </row>
    <row r="509" spans="1:3" x14ac:dyDescent="0.3">
      <c r="A509" s="7">
        <v>45067</v>
      </c>
      <c r="B509" s="11">
        <v>232.39286999999999</v>
      </c>
      <c r="C509" s="11">
        <v>217.46332000000001</v>
      </c>
    </row>
    <row r="510" spans="1:3" x14ac:dyDescent="0.3">
      <c r="A510" s="7">
        <v>45068</v>
      </c>
      <c r="B510" s="11">
        <v>232.51132000000001</v>
      </c>
      <c r="C510" s="11">
        <v>217.50379000000001</v>
      </c>
    </row>
    <row r="511" spans="1:3" x14ac:dyDescent="0.3">
      <c r="A511" s="7">
        <v>45069</v>
      </c>
      <c r="B511" s="11">
        <v>232.26320999999999</v>
      </c>
      <c r="C511" s="11">
        <v>217.43244999999999</v>
      </c>
    </row>
    <row r="512" spans="1:3" x14ac:dyDescent="0.3">
      <c r="A512" s="7">
        <v>45070</v>
      </c>
      <c r="B512" s="11">
        <v>232.27196000000001</v>
      </c>
      <c r="C512" s="11">
        <v>217.44791000000001</v>
      </c>
    </row>
    <row r="513" spans="1:3" x14ac:dyDescent="0.3">
      <c r="A513" s="7">
        <v>45071</v>
      </c>
      <c r="B513" s="11">
        <v>231.95559</v>
      </c>
      <c r="C513" s="11">
        <v>217.34936999999999</v>
      </c>
    </row>
    <row r="514" spans="1:3" x14ac:dyDescent="0.3">
      <c r="A514" s="7">
        <v>45072</v>
      </c>
      <c r="B514" s="11">
        <v>231.77323000000001</v>
      </c>
      <c r="C514" s="11">
        <v>217.29705000000001</v>
      </c>
    </row>
    <row r="515" spans="1:3" x14ac:dyDescent="0.3">
      <c r="A515" s="7">
        <v>45073</v>
      </c>
      <c r="B515" s="11">
        <v>231.79603</v>
      </c>
      <c r="C515" s="11">
        <v>217.31845000000001</v>
      </c>
    </row>
    <row r="516" spans="1:3" x14ac:dyDescent="0.3">
      <c r="A516" s="7">
        <v>45074</v>
      </c>
      <c r="B516" s="11">
        <v>231.81881999999999</v>
      </c>
      <c r="C516" s="11">
        <v>217.33985000000001</v>
      </c>
    </row>
    <row r="517" spans="1:3" x14ac:dyDescent="0.3">
      <c r="A517" s="7">
        <v>45075</v>
      </c>
      <c r="B517" s="11">
        <v>231.84163000000001</v>
      </c>
      <c r="C517" s="11">
        <v>217.36125000000001</v>
      </c>
    </row>
    <row r="518" spans="1:3" x14ac:dyDescent="0.3">
      <c r="A518" s="7">
        <v>45076</v>
      </c>
      <c r="B518" s="11">
        <v>231.74145999999999</v>
      </c>
      <c r="C518" s="11">
        <v>217.33920000000001</v>
      </c>
    </row>
    <row r="519" spans="1:3" x14ac:dyDescent="0.3">
      <c r="A519" s="7">
        <v>45077</v>
      </c>
      <c r="B519" s="11">
        <v>232.18510000000001</v>
      </c>
      <c r="C519" s="11">
        <v>217.49784</v>
      </c>
    </row>
    <row r="520" spans="1:3" x14ac:dyDescent="0.3">
      <c r="A520" s="7">
        <v>45078</v>
      </c>
      <c r="B520" s="11">
        <v>232.08009999999999</v>
      </c>
      <c r="C520" s="11">
        <v>217.48618999999999</v>
      </c>
    </row>
    <row r="521" spans="1:3" x14ac:dyDescent="0.3">
      <c r="A521" s="7">
        <v>45079</v>
      </c>
      <c r="B521" s="11">
        <v>232.29014000000001</v>
      </c>
      <c r="C521" s="11">
        <v>217.57166000000001</v>
      </c>
    </row>
    <row r="522" spans="1:3" x14ac:dyDescent="0.3">
      <c r="A522" s="7">
        <v>45080</v>
      </c>
      <c r="B522" s="11">
        <v>232.31175999999999</v>
      </c>
      <c r="C522" s="11">
        <v>217.59280999999999</v>
      </c>
    </row>
    <row r="523" spans="1:3" x14ac:dyDescent="0.3">
      <c r="A523" s="7">
        <v>45081</v>
      </c>
      <c r="B523" s="11">
        <v>232.33410000000001</v>
      </c>
      <c r="C523" s="11">
        <v>217.61413999999999</v>
      </c>
    </row>
    <row r="524" spans="1:3" x14ac:dyDescent="0.3">
      <c r="A524" s="7">
        <v>45082</v>
      </c>
      <c r="B524" s="11">
        <v>232.12505999999999</v>
      </c>
      <c r="C524" s="11">
        <v>217.56180000000001</v>
      </c>
    </row>
    <row r="525" spans="1:3" x14ac:dyDescent="0.3">
      <c r="A525" s="7">
        <v>45083</v>
      </c>
      <c r="B525" s="11">
        <v>232.14767000000001</v>
      </c>
      <c r="C525" s="11">
        <v>217.58329000000001</v>
      </c>
    </row>
    <row r="526" spans="1:3" x14ac:dyDescent="0.3">
      <c r="A526" s="7">
        <v>45084</v>
      </c>
      <c r="B526" s="11">
        <v>232.25762</v>
      </c>
      <c r="C526" s="11">
        <v>217.64418000000001</v>
      </c>
    </row>
    <row r="527" spans="1:3" x14ac:dyDescent="0.3">
      <c r="A527" s="7">
        <v>45085</v>
      </c>
      <c r="B527" s="11">
        <v>232.04132000000001</v>
      </c>
      <c r="C527" s="11">
        <v>217.59798000000001</v>
      </c>
    </row>
    <row r="528" spans="1:3" x14ac:dyDescent="0.3">
      <c r="A528" s="7">
        <v>45086</v>
      </c>
      <c r="B528" s="11">
        <v>232.19161</v>
      </c>
      <c r="C528" s="11">
        <v>217.67106999999999</v>
      </c>
    </row>
    <row r="529" spans="1:3" x14ac:dyDescent="0.3">
      <c r="A529" s="7">
        <v>45087</v>
      </c>
      <c r="B529" s="11">
        <v>232.21019999999999</v>
      </c>
      <c r="C529" s="11">
        <v>217.69153</v>
      </c>
    </row>
    <row r="530" spans="1:3" x14ac:dyDescent="0.3">
      <c r="A530" s="7">
        <v>45088</v>
      </c>
      <c r="B530" s="11">
        <v>232.23271</v>
      </c>
      <c r="C530" s="11">
        <v>217.71293</v>
      </c>
    </row>
    <row r="531" spans="1:3" x14ac:dyDescent="0.3">
      <c r="A531" s="7">
        <v>45089</v>
      </c>
      <c r="B531" s="11">
        <v>232.25366</v>
      </c>
      <c r="C531" s="11">
        <v>217.74033</v>
      </c>
    </row>
    <row r="532" spans="1:3" x14ac:dyDescent="0.3">
      <c r="A532" s="7">
        <v>45090</v>
      </c>
      <c r="B532" s="11">
        <v>232.30734000000001</v>
      </c>
      <c r="C532" s="11">
        <v>217.77758</v>
      </c>
    </row>
    <row r="533" spans="1:3" x14ac:dyDescent="0.3">
      <c r="A533" s="7">
        <v>45091</v>
      </c>
      <c r="B533" s="11">
        <v>232.14706000000001</v>
      </c>
      <c r="C533" s="11">
        <v>217.73308</v>
      </c>
    </row>
    <row r="534" spans="1:3" x14ac:dyDescent="0.3">
      <c r="A534" s="7">
        <v>45092</v>
      </c>
      <c r="B534" s="11">
        <v>231.91408000000001</v>
      </c>
      <c r="C534" s="11">
        <v>217.68178</v>
      </c>
    </row>
    <row r="535" spans="1:3" x14ac:dyDescent="0.3">
      <c r="A535" s="7">
        <v>45093</v>
      </c>
      <c r="B535" s="11">
        <v>232.03137000000001</v>
      </c>
      <c r="C535" s="11">
        <v>217.73416</v>
      </c>
    </row>
    <row r="536" spans="1:3" x14ac:dyDescent="0.3">
      <c r="A536" s="7">
        <v>45094</v>
      </c>
      <c r="B536" s="11">
        <v>232.05425</v>
      </c>
      <c r="C536" s="11">
        <v>217.75572</v>
      </c>
    </row>
    <row r="537" spans="1:3" x14ac:dyDescent="0.3">
      <c r="A537" s="7">
        <v>45095</v>
      </c>
      <c r="B537" s="11">
        <v>232.07713000000001</v>
      </c>
      <c r="C537" s="11">
        <v>217.77727999999999</v>
      </c>
    </row>
    <row r="538" spans="1:3" x14ac:dyDescent="0.3">
      <c r="A538" s="7">
        <v>45096</v>
      </c>
      <c r="B538" s="11">
        <v>232.11596</v>
      </c>
      <c r="C538" s="11">
        <v>217.79947000000001</v>
      </c>
    </row>
    <row r="539" spans="1:3" x14ac:dyDescent="0.3">
      <c r="A539" s="7">
        <v>45097</v>
      </c>
      <c r="B539" s="11">
        <v>232.13882000000001</v>
      </c>
      <c r="C539" s="11">
        <v>217.81523000000001</v>
      </c>
    </row>
    <row r="540" spans="1:3" x14ac:dyDescent="0.3">
      <c r="A540" s="7">
        <v>45098</v>
      </c>
      <c r="B540" s="11">
        <v>232.19306</v>
      </c>
      <c r="C540" s="11">
        <v>217.84571</v>
      </c>
    </row>
    <row r="541" spans="1:3" x14ac:dyDescent="0.3">
      <c r="A541" s="7">
        <v>45099</v>
      </c>
      <c r="B541" s="11">
        <v>232.12002000000001</v>
      </c>
      <c r="C541" s="11">
        <v>217.83121</v>
      </c>
    </row>
    <row r="542" spans="1:3" x14ac:dyDescent="0.3">
      <c r="A542" s="7">
        <v>45100</v>
      </c>
      <c r="B542" s="11">
        <v>232.09539000000001</v>
      </c>
      <c r="C542" s="11">
        <v>217.83976999999999</v>
      </c>
    </row>
    <row r="543" spans="1:3" x14ac:dyDescent="0.3">
      <c r="A543" s="7">
        <v>45101</v>
      </c>
      <c r="B543" s="11">
        <v>232.11843999999999</v>
      </c>
      <c r="C543" s="11">
        <v>217.86144999999999</v>
      </c>
    </row>
    <row r="544" spans="1:3" x14ac:dyDescent="0.3">
      <c r="A544" s="7">
        <v>45102</v>
      </c>
      <c r="B544" s="11">
        <v>232.14150000000001</v>
      </c>
      <c r="C544" s="11">
        <v>217.88312999999999</v>
      </c>
    </row>
    <row r="545" spans="1:3" x14ac:dyDescent="0.3">
      <c r="A545" s="7">
        <v>45103</v>
      </c>
      <c r="B545" s="11">
        <v>232.32522</v>
      </c>
      <c r="C545" s="11">
        <v>217.96028000000001</v>
      </c>
    </row>
    <row r="546" spans="1:3" x14ac:dyDescent="0.3">
      <c r="A546" s="7">
        <v>45104</v>
      </c>
      <c r="B546" s="11">
        <v>232.39438000000001</v>
      </c>
      <c r="C546" s="11">
        <v>217.99822</v>
      </c>
    </row>
    <row r="547" spans="1:3" x14ac:dyDescent="0.3">
      <c r="A547" s="7">
        <v>45105</v>
      </c>
      <c r="B547" s="11">
        <v>232.38517999999999</v>
      </c>
      <c r="C547" s="11">
        <v>217.99999</v>
      </c>
    </row>
    <row r="548" spans="1:3" x14ac:dyDescent="0.3">
      <c r="A548" s="7">
        <v>45106</v>
      </c>
      <c r="B548" s="11">
        <v>232.29426000000001</v>
      </c>
      <c r="C548" s="11">
        <v>217.98324</v>
      </c>
    </row>
    <row r="549" spans="1:3" x14ac:dyDescent="0.3">
      <c r="A549" s="7">
        <v>45107</v>
      </c>
      <c r="B549" s="11">
        <v>232.12539000000001</v>
      </c>
      <c r="C549" s="11">
        <v>217.93928</v>
      </c>
    </row>
    <row r="550" spans="1:3" x14ac:dyDescent="0.3">
      <c r="A550" s="7">
        <v>45108</v>
      </c>
      <c r="B550" s="11">
        <v>232.14867000000001</v>
      </c>
      <c r="C550" s="11">
        <v>217.96111999999999</v>
      </c>
    </row>
    <row r="551" spans="1:3" x14ac:dyDescent="0.3">
      <c r="A551" s="7">
        <v>45109</v>
      </c>
      <c r="B551" s="11">
        <v>232.17187999999999</v>
      </c>
      <c r="C551" s="11">
        <v>217.98294999999999</v>
      </c>
    </row>
    <row r="552" spans="1:3" x14ac:dyDescent="0.3">
      <c r="A552" s="7">
        <v>45110</v>
      </c>
      <c r="B552" s="11">
        <v>232.40481</v>
      </c>
      <c r="C552" s="11">
        <v>218.07683</v>
      </c>
    </row>
    <row r="553" spans="1:3" x14ac:dyDescent="0.3">
      <c r="A553" s="7">
        <v>45111</v>
      </c>
      <c r="B553" s="11">
        <v>232.36839000000001</v>
      </c>
      <c r="C553" s="11">
        <v>218.07307</v>
      </c>
    </row>
    <row r="554" spans="1:3" x14ac:dyDescent="0.3">
      <c r="A554" s="7">
        <v>45112</v>
      </c>
      <c r="B554" s="11">
        <v>232.39830000000001</v>
      </c>
      <c r="C554" s="11">
        <v>218.10101</v>
      </c>
    </row>
    <row r="555" spans="1:3" x14ac:dyDescent="0.3">
      <c r="A555" s="7">
        <v>45113</v>
      </c>
      <c r="B555" s="11">
        <v>232.17885999999999</v>
      </c>
      <c r="C555" s="11">
        <v>218.03095999999999</v>
      </c>
    </row>
    <row r="556" spans="1:3" x14ac:dyDescent="0.3">
      <c r="A556" s="7">
        <v>45114</v>
      </c>
      <c r="B556" s="11">
        <v>231.97317000000001</v>
      </c>
      <c r="C556" s="11">
        <v>217.96281999999999</v>
      </c>
    </row>
    <row r="557" spans="1:3" x14ac:dyDescent="0.3">
      <c r="A557" s="7">
        <v>45115</v>
      </c>
      <c r="B557" s="11">
        <v>231.99672000000001</v>
      </c>
      <c r="C557" s="11">
        <v>217.98484999999999</v>
      </c>
    </row>
    <row r="558" spans="1:3" x14ac:dyDescent="0.3">
      <c r="A558" s="7">
        <v>45116</v>
      </c>
      <c r="B558" s="11">
        <v>232.02025</v>
      </c>
      <c r="C558" s="11">
        <v>218.00686999999999</v>
      </c>
    </row>
    <row r="559" spans="1:3" x14ac:dyDescent="0.3">
      <c r="A559" s="7">
        <v>45117</v>
      </c>
      <c r="B559" s="11">
        <v>231.80376000000001</v>
      </c>
      <c r="C559" s="11">
        <v>217.94861</v>
      </c>
    </row>
    <row r="560" spans="1:3" x14ac:dyDescent="0.3">
      <c r="A560" s="7">
        <v>45118</v>
      </c>
      <c r="B560" s="11">
        <v>232.16306</v>
      </c>
      <c r="C560" s="11">
        <v>218.09822</v>
      </c>
    </row>
    <row r="561" spans="1:3" x14ac:dyDescent="0.3">
      <c r="A561" s="7">
        <v>45119</v>
      </c>
      <c r="B561" s="11">
        <v>232.17603</v>
      </c>
      <c r="C561" s="11">
        <v>218.10991000000001</v>
      </c>
    </row>
    <row r="562" spans="1:3" x14ac:dyDescent="0.3">
      <c r="A562" s="7">
        <v>45120</v>
      </c>
      <c r="B562" s="11">
        <v>232.59775999999999</v>
      </c>
      <c r="C562" s="11">
        <v>218.28378000000001</v>
      </c>
    </row>
    <row r="563" spans="1:3" x14ac:dyDescent="0.3">
      <c r="A563" s="7">
        <v>45121</v>
      </c>
      <c r="B563" s="11">
        <v>232.56886</v>
      </c>
      <c r="C563" s="11">
        <v>218.29533000000001</v>
      </c>
    </row>
    <row r="564" spans="1:3" x14ac:dyDescent="0.3">
      <c r="A564" s="7">
        <v>45122</v>
      </c>
      <c r="B564" s="11">
        <v>232.59188</v>
      </c>
      <c r="C564" s="11">
        <v>218.31700000000001</v>
      </c>
    </row>
    <row r="565" spans="1:3" x14ac:dyDescent="0.3">
      <c r="A565" s="7">
        <v>45123</v>
      </c>
      <c r="B565" s="11">
        <v>232.61490000000001</v>
      </c>
      <c r="C565" s="11">
        <v>218.33866</v>
      </c>
    </row>
    <row r="566" spans="1:3" x14ac:dyDescent="0.3">
      <c r="A566" s="7">
        <v>45124</v>
      </c>
      <c r="B566" s="11">
        <v>232.68745999999999</v>
      </c>
      <c r="C566" s="11">
        <v>218.37868</v>
      </c>
    </row>
    <row r="567" spans="1:3" x14ac:dyDescent="0.3">
      <c r="A567" s="7">
        <v>45125</v>
      </c>
      <c r="B567" s="11">
        <v>232.77119999999999</v>
      </c>
      <c r="C567" s="11">
        <v>218.4315</v>
      </c>
    </row>
    <row r="568" spans="1:3" x14ac:dyDescent="0.3">
      <c r="A568" s="7">
        <v>45126</v>
      </c>
      <c r="B568" s="11">
        <v>233.01356000000001</v>
      </c>
      <c r="C568" s="11">
        <v>218.52941000000001</v>
      </c>
    </row>
    <row r="569" spans="1:3" x14ac:dyDescent="0.3">
      <c r="A569" s="7">
        <v>45127</v>
      </c>
      <c r="B569" s="11">
        <v>232.88927000000001</v>
      </c>
      <c r="C569" s="11">
        <v>218.49909</v>
      </c>
    </row>
    <row r="570" spans="1:3" x14ac:dyDescent="0.3">
      <c r="A570" s="7">
        <v>45128</v>
      </c>
      <c r="B570" s="11">
        <v>232.84813</v>
      </c>
      <c r="C570" s="11">
        <v>218.49928</v>
      </c>
    </row>
    <row r="571" spans="1:3" x14ac:dyDescent="0.3">
      <c r="A571" s="7">
        <v>45129</v>
      </c>
      <c r="B571" s="11">
        <v>232.87099000000001</v>
      </c>
      <c r="C571" s="11">
        <v>218.52081000000001</v>
      </c>
    </row>
    <row r="572" spans="1:3" x14ac:dyDescent="0.3">
      <c r="A572" s="7">
        <v>45130</v>
      </c>
      <c r="B572" s="11">
        <v>232.89385999999999</v>
      </c>
      <c r="C572" s="11">
        <v>218.54232999999999</v>
      </c>
    </row>
    <row r="573" spans="1:3" x14ac:dyDescent="0.3">
      <c r="A573" s="7">
        <v>45131</v>
      </c>
      <c r="B573" s="11">
        <v>232.8734</v>
      </c>
      <c r="C573" s="11">
        <v>218.55046999999999</v>
      </c>
    </row>
    <row r="574" spans="1:3" x14ac:dyDescent="0.3">
      <c r="A574" s="7">
        <v>45132</v>
      </c>
      <c r="B574" s="11">
        <v>232.83249000000001</v>
      </c>
      <c r="C574" s="11">
        <v>218.55420000000001</v>
      </c>
    </row>
    <row r="575" spans="1:3" x14ac:dyDescent="0.3">
      <c r="A575" s="7">
        <v>45133</v>
      </c>
      <c r="B575" s="11">
        <v>232.92948999999999</v>
      </c>
      <c r="C575" s="11">
        <v>218.60919999999999</v>
      </c>
    </row>
    <row r="576" spans="1:3" x14ac:dyDescent="0.3">
      <c r="A576" s="7">
        <v>45134</v>
      </c>
      <c r="B576" s="11">
        <v>233.08089000000001</v>
      </c>
      <c r="C576" s="11">
        <v>218.67141000000001</v>
      </c>
    </row>
    <row r="577" spans="1:3" x14ac:dyDescent="0.3">
      <c r="A577" s="7">
        <v>45135</v>
      </c>
      <c r="B577" s="11">
        <v>232.90422000000001</v>
      </c>
      <c r="C577" s="11">
        <v>218.62582</v>
      </c>
    </row>
    <row r="578" spans="1:3" x14ac:dyDescent="0.3">
      <c r="A578" s="7">
        <v>45136</v>
      </c>
      <c r="B578" s="11">
        <v>232.92719</v>
      </c>
      <c r="C578" s="11">
        <v>218.64737</v>
      </c>
    </row>
    <row r="579" spans="1:3" x14ac:dyDescent="0.3">
      <c r="A579" s="7">
        <v>45137</v>
      </c>
      <c r="B579" s="11">
        <v>232.95016000000001</v>
      </c>
      <c r="C579" s="11">
        <v>218.66892000000001</v>
      </c>
    </row>
    <row r="580" spans="1:3" x14ac:dyDescent="0.3">
      <c r="A580" s="7">
        <v>45138</v>
      </c>
      <c r="B580" s="11">
        <v>232.8152</v>
      </c>
      <c r="C580" s="11">
        <v>218.64301</v>
      </c>
    </row>
    <row r="581" spans="1:3" x14ac:dyDescent="0.3">
      <c r="A581" s="7">
        <v>45139</v>
      </c>
      <c r="B581" s="11">
        <v>232.96742</v>
      </c>
      <c r="C581" s="11">
        <v>218.71522999999999</v>
      </c>
    </row>
    <row r="582" spans="1:3" x14ac:dyDescent="0.3">
      <c r="A582" s="7">
        <v>45140</v>
      </c>
      <c r="B582" s="11">
        <v>232.91967</v>
      </c>
      <c r="C582" s="11">
        <v>218.72577999999999</v>
      </c>
    </row>
    <row r="583" spans="1:3" x14ac:dyDescent="0.3">
      <c r="A583" s="7">
        <v>45141</v>
      </c>
      <c r="B583" s="11">
        <v>232.78775999999999</v>
      </c>
      <c r="C583" s="11">
        <v>218.70187999999999</v>
      </c>
    </row>
    <row r="584" spans="1:3" x14ac:dyDescent="0.3">
      <c r="A584" s="7">
        <v>45142</v>
      </c>
      <c r="B584" s="11">
        <v>232.75120000000001</v>
      </c>
      <c r="C584" s="11">
        <v>218.70866000000001</v>
      </c>
    </row>
    <row r="585" spans="1:3" x14ac:dyDescent="0.3">
      <c r="A585" s="7">
        <v>45143</v>
      </c>
      <c r="B585" s="11">
        <v>232.77457000000001</v>
      </c>
      <c r="C585" s="11">
        <v>218.73043999999999</v>
      </c>
    </row>
    <row r="586" spans="1:3" x14ac:dyDescent="0.3">
      <c r="A586" s="7">
        <v>45144</v>
      </c>
      <c r="B586" s="11">
        <v>232.79795999999999</v>
      </c>
      <c r="C586" s="11">
        <v>218.75220999999999</v>
      </c>
    </row>
    <row r="587" spans="1:3" x14ac:dyDescent="0.3">
      <c r="A587" s="7">
        <v>45145</v>
      </c>
      <c r="B587" s="11">
        <v>232.99839</v>
      </c>
      <c r="C587" s="11">
        <v>218.83552</v>
      </c>
    </row>
    <row r="588" spans="1:3" x14ac:dyDescent="0.3">
      <c r="A588" s="7">
        <v>45146</v>
      </c>
      <c r="B588" s="11">
        <v>233.19513000000001</v>
      </c>
      <c r="C588" s="11">
        <v>218.91220000000001</v>
      </c>
    </row>
    <row r="589" spans="1:3" x14ac:dyDescent="0.3">
      <c r="A589" s="7">
        <v>45147</v>
      </c>
      <c r="B589" s="11">
        <v>233.11639</v>
      </c>
      <c r="C589" s="11">
        <v>218.89409000000001</v>
      </c>
    </row>
    <row r="590" spans="1:3" x14ac:dyDescent="0.3">
      <c r="A590" s="7">
        <v>45148</v>
      </c>
      <c r="B590" s="11">
        <v>233.11156</v>
      </c>
      <c r="C590" s="11">
        <v>218.90782999999999</v>
      </c>
    </row>
    <row r="591" spans="1:3" x14ac:dyDescent="0.3">
      <c r="A591" s="7">
        <v>45149</v>
      </c>
      <c r="B591" s="11">
        <v>233.07527999999999</v>
      </c>
      <c r="C591" s="11">
        <v>218.91117</v>
      </c>
    </row>
    <row r="592" spans="1:3" x14ac:dyDescent="0.3">
      <c r="A592" s="7">
        <v>45150</v>
      </c>
      <c r="B592" s="11">
        <v>233.09851</v>
      </c>
      <c r="C592" s="11">
        <v>218.93285</v>
      </c>
    </row>
    <row r="593" spans="1:3" x14ac:dyDescent="0.3">
      <c r="A593" s="7">
        <v>45151</v>
      </c>
      <c r="B593" s="11">
        <v>233.12173999999999</v>
      </c>
      <c r="C593" s="11">
        <v>218.95453000000001</v>
      </c>
    </row>
    <row r="594" spans="1:3" x14ac:dyDescent="0.3">
      <c r="A594" s="7">
        <v>45152</v>
      </c>
      <c r="B594" s="11">
        <v>232.9736</v>
      </c>
      <c r="C594" s="11">
        <v>218.93113</v>
      </c>
    </row>
    <row r="595" spans="1:3" x14ac:dyDescent="0.3">
      <c r="A595" s="7">
        <v>45153</v>
      </c>
      <c r="B595" s="11">
        <v>232.99701999999999</v>
      </c>
      <c r="C595" s="11">
        <v>218.95291</v>
      </c>
    </row>
    <row r="596" spans="1:3" x14ac:dyDescent="0.3">
      <c r="A596" s="7">
        <v>45154</v>
      </c>
      <c r="B596" s="11">
        <v>233.18536</v>
      </c>
      <c r="C596" s="11">
        <v>219.03892999999999</v>
      </c>
    </row>
    <row r="597" spans="1:3" x14ac:dyDescent="0.3">
      <c r="A597" s="7">
        <v>45155</v>
      </c>
      <c r="B597" s="11">
        <v>232.92532</v>
      </c>
      <c r="C597" s="11">
        <v>218.96981</v>
      </c>
    </row>
    <row r="598" spans="1:3" x14ac:dyDescent="0.3">
      <c r="A598" s="7">
        <v>45156</v>
      </c>
      <c r="B598" s="11">
        <v>233.14494999999999</v>
      </c>
      <c r="C598" s="11">
        <v>219.06054</v>
      </c>
    </row>
    <row r="599" spans="1:3" x14ac:dyDescent="0.3">
      <c r="A599" s="7">
        <v>45157</v>
      </c>
      <c r="B599" s="11">
        <v>233.16829000000001</v>
      </c>
      <c r="C599" s="11">
        <v>219.08224999999999</v>
      </c>
    </row>
    <row r="600" spans="1:3" x14ac:dyDescent="0.3">
      <c r="A600" s="7">
        <v>45158</v>
      </c>
      <c r="B600" s="11">
        <v>233.19164000000001</v>
      </c>
      <c r="C600" s="11">
        <v>219.10397</v>
      </c>
    </row>
    <row r="601" spans="1:3" x14ac:dyDescent="0.3">
      <c r="A601" s="7">
        <v>45159</v>
      </c>
      <c r="B601" s="11">
        <v>233.00541999999999</v>
      </c>
      <c r="C601" s="11">
        <v>219.06018</v>
      </c>
    </row>
    <row r="602" spans="1:3" x14ac:dyDescent="0.3">
      <c r="A602" s="7">
        <v>45160</v>
      </c>
      <c r="B602" s="11">
        <v>232.98708999999999</v>
      </c>
      <c r="C602" s="11">
        <v>219.05989</v>
      </c>
    </row>
    <row r="603" spans="1:3" x14ac:dyDescent="0.3">
      <c r="A603" s="7">
        <v>45161</v>
      </c>
      <c r="B603" s="11">
        <v>233.12306000000001</v>
      </c>
      <c r="C603" s="11">
        <v>219.11635999999999</v>
      </c>
    </row>
    <row r="604" spans="1:3" x14ac:dyDescent="0.3">
      <c r="A604" s="7">
        <v>45162</v>
      </c>
      <c r="B604" s="11">
        <v>233.19904</v>
      </c>
      <c r="C604" s="11">
        <v>219.15708000000001</v>
      </c>
    </row>
    <row r="605" spans="1:3" x14ac:dyDescent="0.3">
      <c r="A605" s="7">
        <v>45163</v>
      </c>
      <c r="B605" s="11">
        <v>233.09473</v>
      </c>
      <c r="C605" s="11">
        <v>219.13568000000001</v>
      </c>
    </row>
    <row r="606" spans="1:3" x14ac:dyDescent="0.3">
      <c r="A606" s="7">
        <v>45164</v>
      </c>
      <c r="B606" s="11">
        <v>233.11837</v>
      </c>
      <c r="C606" s="11">
        <v>219.15754000000001</v>
      </c>
    </row>
    <row r="607" spans="1:3" x14ac:dyDescent="0.3">
      <c r="A607" s="7">
        <v>45165</v>
      </c>
      <c r="B607" s="11">
        <v>233.14201</v>
      </c>
      <c r="C607" s="11">
        <v>219.17940999999999</v>
      </c>
    </row>
    <row r="608" spans="1:3" x14ac:dyDescent="0.3">
      <c r="A608" s="7">
        <v>45166</v>
      </c>
      <c r="B608" s="11">
        <v>233.27521999999999</v>
      </c>
      <c r="C608" s="11">
        <v>219.22917000000001</v>
      </c>
    </row>
    <row r="609" spans="1:3" x14ac:dyDescent="0.3">
      <c r="A609" s="7">
        <v>45167</v>
      </c>
      <c r="B609" s="11">
        <v>233.36046999999999</v>
      </c>
      <c r="C609" s="11">
        <v>219.25729000000001</v>
      </c>
    </row>
    <row r="610" spans="1:3" x14ac:dyDescent="0.3">
      <c r="A610" s="7">
        <v>45168</v>
      </c>
      <c r="B610" s="11">
        <v>233.39039</v>
      </c>
      <c r="C610" s="11">
        <v>219.2826</v>
      </c>
    </row>
    <row r="611" spans="1:3" x14ac:dyDescent="0.3">
      <c r="A611" s="7">
        <v>45169</v>
      </c>
      <c r="B611" s="11">
        <v>233.49431999999999</v>
      </c>
      <c r="C611" s="11">
        <v>219.32131000000001</v>
      </c>
    </row>
    <row r="612" spans="1:3" x14ac:dyDescent="0.3">
      <c r="A612" s="7">
        <v>45170</v>
      </c>
      <c r="B612" s="11">
        <v>233.61446000000001</v>
      </c>
      <c r="C612" s="11">
        <v>219.36812</v>
      </c>
    </row>
    <row r="613" spans="1:3" x14ac:dyDescent="0.3">
      <c r="A613" s="7">
        <v>45171</v>
      </c>
      <c r="B613" s="11">
        <v>233.63782</v>
      </c>
      <c r="C613" s="11">
        <v>219.39001999999999</v>
      </c>
    </row>
    <row r="614" spans="1:3" x14ac:dyDescent="0.3">
      <c r="A614" s="7">
        <v>45172</v>
      </c>
      <c r="B614" s="11">
        <v>233.66118</v>
      </c>
      <c r="C614" s="11">
        <v>219.41193000000001</v>
      </c>
    </row>
    <row r="615" spans="1:3" x14ac:dyDescent="0.3">
      <c r="A615" s="7">
        <v>45173</v>
      </c>
      <c r="B615" s="11">
        <v>233.50073</v>
      </c>
      <c r="C615" s="11">
        <v>219.37112999999999</v>
      </c>
    </row>
    <row r="616" spans="1:3" x14ac:dyDescent="0.3">
      <c r="A616" s="7">
        <v>45174</v>
      </c>
      <c r="B616" s="11">
        <v>233.39507</v>
      </c>
      <c r="C616" s="11">
        <v>219.35472999999999</v>
      </c>
    </row>
    <row r="617" spans="1:3" x14ac:dyDescent="0.3">
      <c r="A617" s="7">
        <v>45175</v>
      </c>
      <c r="B617" s="11">
        <v>233.38676000000001</v>
      </c>
      <c r="C617" s="11">
        <v>219.36359999999999</v>
      </c>
    </row>
    <row r="618" spans="1:3" x14ac:dyDescent="0.3">
      <c r="A618" s="7">
        <v>45176</v>
      </c>
      <c r="B618" s="11">
        <v>233.17975000000001</v>
      </c>
      <c r="C618" s="11">
        <v>219.30096</v>
      </c>
    </row>
    <row r="619" spans="1:3" x14ac:dyDescent="0.3">
      <c r="A619" s="7">
        <v>45177</v>
      </c>
      <c r="B619" s="11">
        <v>233.37583000000001</v>
      </c>
      <c r="C619" s="11">
        <v>219.38158999999999</v>
      </c>
    </row>
    <row r="620" spans="1:3" x14ac:dyDescent="0.3">
      <c r="A620" s="7">
        <v>45178</v>
      </c>
      <c r="B620" s="11">
        <v>233.39897999999999</v>
      </c>
      <c r="C620" s="11">
        <v>219.40358000000001</v>
      </c>
    </row>
    <row r="621" spans="1:3" x14ac:dyDescent="0.3">
      <c r="A621" s="7">
        <v>45179</v>
      </c>
      <c r="B621" s="11">
        <v>233.42273</v>
      </c>
      <c r="C621" s="11">
        <v>219.42572999999999</v>
      </c>
    </row>
    <row r="622" spans="1:3" x14ac:dyDescent="0.3">
      <c r="A622" s="7">
        <v>45180</v>
      </c>
      <c r="B622" s="11">
        <v>233.19719000000001</v>
      </c>
      <c r="C622" s="11">
        <v>219.35383999999999</v>
      </c>
    </row>
    <row r="623" spans="1:3" x14ac:dyDescent="0.3">
      <c r="A623" s="7">
        <v>45181</v>
      </c>
      <c r="B623" s="11">
        <v>233.21051</v>
      </c>
      <c r="C623" s="11">
        <v>219.36532</v>
      </c>
    </row>
    <row r="624" spans="1:3" x14ac:dyDescent="0.3">
      <c r="A624" s="7">
        <v>45182</v>
      </c>
      <c r="B624" s="11">
        <v>233.27646999999999</v>
      </c>
      <c r="C624" s="11">
        <v>219.39255</v>
      </c>
    </row>
    <row r="625" spans="1:3" x14ac:dyDescent="0.3">
      <c r="A625" s="7">
        <v>45183</v>
      </c>
      <c r="B625" s="11">
        <v>233.34548000000001</v>
      </c>
      <c r="C625" s="11">
        <v>219.42491999999999</v>
      </c>
    </row>
    <row r="626" spans="1:3" x14ac:dyDescent="0.3">
      <c r="A626" s="7">
        <v>45184</v>
      </c>
      <c r="B626" s="11">
        <v>233.32640000000001</v>
      </c>
      <c r="C626" s="11">
        <v>219.42698999999999</v>
      </c>
    </row>
    <row r="627" spans="1:3" x14ac:dyDescent="0.3">
      <c r="A627" s="7">
        <v>45185</v>
      </c>
      <c r="B627" s="11">
        <v>233.35051000000001</v>
      </c>
      <c r="C627" s="11">
        <v>219.44945000000001</v>
      </c>
    </row>
    <row r="628" spans="1:3" x14ac:dyDescent="0.3">
      <c r="A628" s="7">
        <v>45186</v>
      </c>
      <c r="B628" s="11">
        <v>233.37463</v>
      </c>
      <c r="C628" s="11">
        <v>219.47192000000001</v>
      </c>
    </row>
    <row r="629" spans="1:3" x14ac:dyDescent="0.3">
      <c r="A629" s="7">
        <v>45187</v>
      </c>
      <c r="B629" s="11">
        <v>233.22695999999999</v>
      </c>
      <c r="C629" s="11">
        <v>219.42768000000001</v>
      </c>
    </row>
    <row r="630" spans="1:3" x14ac:dyDescent="0.3">
      <c r="A630" s="7">
        <v>45188</v>
      </c>
      <c r="B630" s="11">
        <v>233.29926</v>
      </c>
      <c r="C630" s="11">
        <v>219.47095999999999</v>
      </c>
    </row>
    <row r="631" spans="1:3" x14ac:dyDescent="0.3">
      <c r="A631" s="7">
        <v>45189</v>
      </c>
      <c r="B631" s="11">
        <v>233.34451000000001</v>
      </c>
      <c r="C631" s="11">
        <v>219.49718999999999</v>
      </c>
    </row>
    <row r="632" spans="1:3" x14ac:dyDescent="0.3">
      <c r="A632" s="7">
        <v>45190</v>
      </c>
      <c r="B632" s="11">
        <v>233.21172999999999</v>
      </c>
      <c r="C632" s="11">
        <v>219.45567</v>
      </c>
    </row>
    <row r="633" spans="1:3" x14ac:dyDescent="0.3">
      <c r="A633" s="7">
        <v>45191</v>
      </c>
      <c r="B633" s="11">
        <v>233.43442999999999</v>
      </c>
      <c r="C633" s="11">
        <v>219.54077000000001</v>
      </c>
    </row>
    <row r="634" spans="1:3" x14ac:dyDescent="0.3">
      <c r="A634" s="7">
        <v>45192</v>
      </c>
      <c r="B634" s="11">
        <v>233.45865000000001</v>
      </c>
      <c r="C634" s="11">
        <v>219.56341</v>
      </c>
    </row>
    <row r="635" spans="1:3" x14ac:dyDescent="0.3">
      <c r="A635" s="7">
        <v>45193</v>
      </c>
      <c r="B635" s="11">
        <v>233.48287999999999</v>
      </c>
      <c r="C635" s="11">
        <v>219.58606</v>
      </c>
    </row>
    <row r="636" spans="1:3" x14ac:dyDescent="0.3">
      <c r="A636" s="7">
        <v>45194</v>
      </c>
      <c r="B636" s="11">
        <v>233.47191000000001</v>
      </c>
      <c r="C636" s="11">
        <v>219.59493000000001</v>
      </c>
    </row>
    <row r="637" spans="1:3" x14ac:dyDescent="0.3">
      <c r="A637" s="7">
        <v>45195</v>
      </c>
      <c r="B637" s="11">
        <v>233.44216</v>
      </c>
      <c r="C637" s="11">
        <v>219.59700000000001</v>
      </c>
    </row>
    <row r="638" spans="1:3" x14ac:dyDescent="0.3">
      <c r="A638" s="7">
        <v>45196</v>
      </c>
      <c r="B638" s="11">
        <v>233.54866000000001</v>
      </c>
      <c r="C638" s="11">
        <v>219.64676</v>
      </c>
    </row>
    <row r="639" spans="1:3" x14ac:dyDescent="0.3">
      <c r="A639" s="7">
        <v>45197</v>
      </c>
      <c r="B639" s="11">
        <v>233.57292000000001</v>
      </c>
      <c r="C639" s="11">
        <v>219.66945999999999</v>
      </c>
    </row>
    <row r="640" spans="1:3" x14ac:dyDescent="0.3">
      <c r="A640" s="7">
        <v>45198</v>
      </c>
      <c r="B640" s="11">
        <v>233.59719000000001</v>
      </c>
      <c r="C640" s="11">
        <v>219.69218000000001</v>
      </c>
    </row>
    <row r="641" spans="1:3" x14ac:dyDescent="0.3">
      <c r="A641" s="7">
        <v>45199</v>
      </c>
      <c r="B641" s="11">
        <v>233.62146999999999</v>
      </c>
      <c r="C641" s="11">
        <v>219.71489</v>
      </c>
    </row>
    <row r="642" spans="1:3" x14ac:dyDescent="0.3">
      <c r="A642" s="7">
        <v>45200</v>
      </c>
      <c r="B642" s="11">
        <v>233.64574999999999</v>
      </c>
      <c r="C642" s="11">
        <v>219.73760999999999</v>
      </c>
    </row>
    <row r="643" spans="1:3" x14ac:dyDescent="0.3">
      <c r="A643" s="7">
        <v>45201</v>
      </c>
      <c r="B643" s="11">
        <v>233.66996</v>
      </c>
      <c r="C643" s="11">
        <v>219.76022</v>
      </c>
    </row>
    <row r="644" spans="1:3" x14ac:dyDescent="0.3">
      <c r="A644" s="7">
        <v>45202</v>
      </c>
      <c r="B644" s="11">
        <v>233.69417999999999</v>
      </c>
      <c r="C644" s="11">
        <v>219.78258</v>
      </c>
    </row>
    <row r="645" spans="1:3" x14ac:dyDescent="0.3">
      <c r="A645" s="7">
        <v>45203</v>
      </c>
      <c r="B645" s="11">
        <v>232.76193000000001</v>
      </c>
      <c r="C645" s="11">
        <v>219.44933</v>
      </c>
    </row>
    <row r="646" spans="1:3" x14ac:dyDescent="0.3">
      <c r="A646" s="7">
        <v>45204</v>
      </c>
      <c r="B646" s="11">
        <v>232.98711</v>
      </c>
      <c r="C646" s="11">
        <v>219.56864999999999</v>
      </c>
    </row>
    <row r="647" spans="1:3" x14ac:dyDescent="0.3">
      <c r="A647" s="7">
        <v>45205</v>
      </c>
      <c r="B647" s="11">
        <v>233.30228</v>
      </c>
      <c r="C647" s="11">
        <v>219.70402999999999</v>
      </c>
    </row>
    <row r="648" spans="1:3" x14ac:dyDescent="0.3">
      <c r="A648" s="7">
        <v>45206</v>
      </c>
      <c r="B648" s="11">
        <v>233.3271</v>
      </c>
      <c r="C648" s="11">
        <v>219.72728000000001</v>
      </c>
    </row>
    <row r="649" spans="1:3" x14ac:dyDescent="0.3">
      <c r="A649" s="7">
        <v>45207</v>
      </c>
      <c r="B649" s="11">
        <v>233.35193000000001</v>
      </c>
      <c r="C649" s="11">
        <v>219.75053</v>
      </c>
    </row>
    <row r="650" spans="1:3" x14ac:dyDescent="0.3">
      <c r="A650" s="7">
        <v>45208</v>
      </c>
      <c r="B650" s="11">
        <v>233.37674999999999</v>
      </c>
      <c r="C650" s="11">
        <v>219.77377999999999</v>
      </c>
    </row>
    <row r="651" spans="1:3" x14ac:dyDescent="0.3">
      <c r="A651" s="7">
        <v>45209</v>
      </c>
      <c r="B651" s="11">
        <v>233.46699000000001</v>
      </c>
      <c r="C651" s="11">
        <v>219.83204000000001</v>
      </c>
    </row>
    <row r="652" spans="1:3" x14ac:dyDescent="0.3">
      <c r="A652" s="7">
        <v>45210</v>
      </c>
      <c r="B652" s="11">
        <v>233.70355000000001</v>
      </c>
      <c r="C652" s="11">
        <v>219.93682999999999</v>
      </c>
    </row>
    <row r="653" spans="1:3" x14ac:dyDescent="0.3">
      <c r="A653" s="7">
        <v>45211</v>
      </c>
      <c r="B653" s="11">
        <v>233.80912000000001</v>
      </c>
      <c r="C653" s="11">
        <v>219.97638000000001</v>
      </c>
    </row>
    <row r="654" spans="1:3" x14ac:dyDescent="0.3">
      <c r="A654" s="7">
        <v>45212</v>
      </c>
      <c r="B654" s="11">
        <v>233.72774000000001</v>
      </c>
      <c r="C654" s="11">
        <v>219.95831999999999</v>
      </c>
    </row>
    <row r="655" spans="1:3" x14ac:dyDescent="0.3">
      <c r="A655" s="7">
        <v>45213</v>
      </c>
      <c r="B655" s="11">
        <v>233.75228000000001</v>
      </c>
      <c r="C655" s="11">
        <v>219.98142000000001</v>
      </c>
    </row>
    <row r="656" spans="1:3" x14ac:dyDescent="0.3">
      <c r="A656" s="7">
        <v>45214</v>
      </c>
      <c r="B656" s="11">
        <v>233.77681999999999</v>
      </c>
      <c r="C656" s="11">
        <v>220.00452999999999</v>
      </c>
    </row>
    <row r="657" spans="1:3" x14ac:dyDescent="0.3">
      <c r="A657" s="7">
        <v>45215</v>
      </c>
      <c r="B657" s="11">
        <v>233.7285</v>
      </c>
      <c r="C657" s="11">
        <v>220.00503</v>
      </c>
    </row>
    <row r="658" spans="1:3" x14ac:dyDescent="0.3">
      <c r="A658" s="7">
        <v>45216</v>
      </c>
      <c r="B658" s="11">
        <v>233.69255999999999</v>
      </c>
      <c r="C658" s="11">
        <v>220.00830999999999</v>
      </c>
    </row>
    <row r="659" spans="1:3" x14ac:dyDescent="0.3">
      <c r="A659" s="7">
        <v>45217</v>
      </c>
      <c r="B659" s="11">
        <v>233.59412</v>
      </c>
      <c r="C659" s="11">
        <v>219.98854</v>
      </c>
    </row>
    <row r="660" spans="1:3" x14ac:dyDescent="0.3">
      <c r="A660" s="7">
        <v>45218</v>
      </c>
      <c r="B660" s="11">
        <v>233.50092000000001</v>
      </c>
      <c r="C660" s="11">
        <v>219.97192000000001</v>
      </c>
    </row>
    <row r="661" spans="1:3" x14ac:dyDescent="0.3">
      <c r="A661" s="7">
        <v>45219</v>
      </c>
      <c r="B661" s="11">
        <v>233.65452999999999</v>
      </c>
      <c r="C661" s="11">
        <v>220.04335</v>
      </c>
    </row>
    <row r="662" spans="1:3" x14ac:dyDescent="0.3">
      <c r="A662" s="7">
        <v>45220</v>
      </c>
      <c r="B662" s="11">
        <v>233.67930999999999</v>
      </c>
      <c r="C662" s="11">
        <v>220.06663</v>
      </c>
    </row>
    <row r="663" spans="1:3" x14ac:dyDescent="0.3">
      <c r="A663" s="7">
        <v>45221</v>
      </c>
      <c r="B663" s="11">
        <v>233.70410000000001</v>
      </c>
      <c r="C663" s="11">
        <v>220.08993000000001</v>
      </c>
    </row>
    <row r="664" spans="1:3" x14ac:dyDescent="0.3">
      <c r="A664" s="7">
        <v>45222</v>
      </c>
      <c r="B664" s="11">
        <v>233.58850000000001</v>
      </c>
      <c r="C664" s="11">
        <v>220.06331</v>
      </c>
    </row>
    <row r="665" spans="1:3" x14ac:dyDescent="0.3">
      <c r="A665" s="7">
        <v>45223</v>
      </c>
      <c r="B665" s="11">
        <v>233.82503</v>
      </c>
      <c r="C665" s="11">
        <v>220.14860999999999</v>
      </c>
    </row>
    <row r="666" spans="1:3" x14ac:dyDescent="0.3">
      <c r="A666" s="7">
        <v>45224</v>
      </c>
      <c r="B666" s="11">
        <v>233.67469</v>
      </c>
      <c r="C666" s="11">
        <v>220.08996999999999</v>
      </c>
    </row>
    <row r="667" spans="1:3" x14ac:dyDescent="0.3">
      <c r="A667" s="7">
        <v>45225</v>
      </c>
      <c r="B667" s="11">
        <v>233.47694999999999</v>
      </c>
      <c r="C667" s="11">
        <v>220.04562999999999</v>
      </c>
    </row>
    <row r="668" spans="1:3" x14ac:dyDescent="0.3">
      <c r="A668" s="7">
        <v>45226</v>
      </c>
      <c r="B668" s="11">
        <v>233.62162000000001</v>
      </c>
      <c r="C668" s="11">
        <v>220.10059999999999</v>
      </c>
    </row>
    <row r="669" spans="1:3" x14ac:dyDescent="0.3">
      <c r="A669" s="7">
        <v>45227</v>
      </c>
      <c r="B669" s="11">
        <v>233.64670000000001</v>
      </c>
      <c r="C669" s="11">
        <v>220.12406999999999</v>
      </c>
    </row>
    <row r="670" spans="1:3" x14ac:dyDescent="0.3">
      <c r="A670" s="7">
        <v>45228</v>
      </c>
      <c r="B670" s="11">
        <v>233.67178000000001</v>
      </c>
      <c r="C670" s="11">
        <v>220.14755</v>
      </c>
    </row>
    <row r="671" spans="1:3" x14ac:dyDescent="0.3">
      <c r="A671" s="7">
        <v>45229</v>
      </c>
      <c r="B671" s="11">
        <v>233.65691000000001</v>
      </c>
      <c r="C671" s="11">
        <v>220.15187</v>
      </c>
    </row>
    <row r="672" spans="1:3" x14ac:dyDescent="0.3">
      <c r="A672" s="7">
        <v>45230</v>
      </c>
      <c r="B672" s="11">
        <v>233.67083</v>
      </c>
      <c r="C672" s="11">
        <v>220.17524</v>
      </c>
    </row>
    <row r="673" spans="1:3" x14ac:dyDescent="0.3">
      <c r="A673" s="7">
        <v>45231</v>
      </c>
      <c r="B673" s="11">
        <v>233.77297999999999</v>
      </c>
      <c r="C673" s="11">
        <v>220.21333000000001</v>
      </c>
    </row>
    <row r="674" spans="1:3" x14ac:dyDescent="0.3">
      <c r="A674" s="7">
        <v>45232</v>
      </c>
      <c r="B674" s="11">
        <v>234.05862999999999</v>
      </c>
      <c r="C674" s="11">
        <v>220.30067</v>
      </c>
    </row>
    <row r="675" spans="1:3" x14ac:dyDescent="0.3">
      <c r="A675" s="7">
        <v>45233</v>
      </c>
      <c r="B675" s="11">
        <v>234.19067999999999</v>
      </c>
      <c r="C675" s="11">
        <v>220.34511000000001</v>
      </c>
    </row>
    <row r="676" spans="1:3" x14ac:dyDescent="0.3">
      <c r="A676" s="7">
        <v>45234</v>
      </c>
      <c r="B676" s="11">
        <v>234.21581</v>
      </c>
      <c r="C676" s="11">
        <v>220.36854</v>
      </c>
    </row>
    <row r="677" spans="1:3" x14ac:dyDescent="0.3">
      <c r="A677" s="7">
        <v>45235</v>
      </c>
      <c r="B677" s="11">
        <v>234.24092999999999</v>
      </c>
      <c r="C677" s="11">
        <v>220.39196999999999</v>
      </c>
    </row>
    <row r="678" spans="1:3" x14ac:dyDescent="0.3">
      <c r="A678" s="7">
        <v>45236</v>
      </c>
      <c r="B678" s="11">
        <v>234.47944000000001</v>
      </c>
      <c r="C678" s="11">
        <v>220.47814</v>
      </c>
    </row>
    <row r="679" spans="1:3" x14ac:dyDescent="0.3">
      <c r="A679" s="7">
        <v>45237</v>
      </c>
      <c r="B679" s="11">
        <v>234.49249</v>
      </c>
      <c r="C679" s="11">
        <v>220.49180000000001</v>
      </c>
    </row>
    <row r="680" spans="1:3" x14ac:dyDescent="0.3">
      <c r="A680" s="7">
        <v>45238</v>
      </c>
      <c r="B680" s="11">
        <v>234.55932000000001</v>
      </c>
      <c r="C680" s="11">
        <v>220.51490000000001</v>
      </c>
    </row>
    <row r="681" spans="1:3" x14ac:dyDescent="0.3">
      <c r="A681" s="7">
        <v>45239</v>
      </c>
      <c r="B681" s="11">
        <v>234.70689999999999</v>
      </c>
      <c r="C681" s="11">
        <v>220.56918999999999</v>
      </c>
    </row>
    <row r="682" spans="1:3" x14ac:dyDescent="0.3">
      <c r="A682" s="7">
        <v>45240</v>
      </c>
      <c r="B682" s="11">
        <v>234.66829000000001</v>
      </c>
      <c r="C682" s="11">
        <v>220.56842</v>
      </c>
    </row>
    <row r="683" spans="1:3" x14ac:dyDescent="0.3">
      <c r="A683" s="7">
        <v>45241</v>
      </c>
      <c r="B683" s="11">
        <v>234.69316000000001</v>
      </c>
      <c r="C683" s="11">
        <v>220.59182999999999</v>
      </c>
    </row>
    <row r="684" spans="1:3" x14ac:dyDescent="0.3">
      <c r="A684" s="7">
        <v>45242</v>
      </c>
      <c r="B684" s="11">
        <v>234.71805000000001</v>
      </c>
      <c r="C684" s="11">
        <v>220.61523</v>
      </c>
    </row>
    <row r="685" spans="1:3" x14ac:dyDescent="0.3">
      <c r="A685" s="7">
        <v>45243</v>
      </c>
      <c r="B685" s="11">
        <v>234.66679999999999</v>
      </c>
      <c r="C685" s="11">
        <v>220.61349000000001</v>
      </c>
    </row>
    <row r="686" spans="1:3" x14ac:dyDescent="0.3">
      <c r="A686" s="7">
        <v>45244</v>
      </c>
      <c r="B686" s="11">
        <v>234.75488000000001</v>
      </c>
      <c r="C686" s="11">
        <v>220.66460000000001</v>
      </c>
    </row>
    <row r="687" spans="1:3" x14ac:dyDescent="0.3">
      <c r="A687" s="7">
        <v>45245</v>
      </c>
      <c r="B687" s="11">
        <v>235.21071000000001</v>
      </c>
      <c r="C687" s="11">
        <v>220.82769999999999</v>
      </c>
    </row>
    <row r="688" spans="1:3" x14ac:dyDescent="0.3">
      <c r="A688" s="7">
        <v>45246</v>
      </c>
      <c r="B688" s="11">
        <v>235.42809</v>
      </c>
      <c r="C688" s="11">
        <v>220.92830000000001</v>
      </c>
    </row>
    <row r="689" spans="1:3" x14ac:dyDescent="0.3">
      <c r="A689" s="7">
        <v>45247</v>
      </c>
      <c r="B689" s="11">
        <v>235.52227999999999</v>
      </c>
      <c r="C689" s="11">
        <v>220.98845</v>
      </c>
    </row>
    <row r="690" spans="1:3" x14ac:dyDescent="0.3">
      <c r="A690" s="7">
        <v>45248</v>
      </c>
      <c r="B690" s="11">
        <v>235.54646</v>
      </c>
      <c r="C690" s="11">
        <v>221.01145</v>
      </c>
    </row>
    <row r="691" spans="1:3" x14ac:dyDescent="0.3">
      <c r="A691" s="7">
        <v>45249</v>
      </c>
      <c r="B691" s="11">
        <v>235.57064</v>
      </c>
      <c r="C691" s="11">
        <v>221.03444999999999</v>
      </c>
    </row>
    <row r="692" spans="1:3" x14ac:dyDescent="0.3">
      <c r="A692" s="7">
        <v>45250</v>
      </c>
      <c r="B692" s="11">
        <v>235.70394999999999</v>
      </c>
      <c r="C692" s="11">
        <v>221.10541000000001</v>
      </c>
    </row>
    <row r="693" spans="1:3" x14ac:dyDescent="0.3">
      <c r="A693" s="7">
        <v>45251</v>
      </c>
      <c r="B693" s="11">
        <v>235.81045</v>
      </c>
      <c r="C693" s="11">
        <v>221.15857</v>
      </c>
    </row>
    <row r="694" spans="1:3" x14ac:dyDescent="0.3">
      <c r="A694" s="7">
        <v>45252</v>
      </c>
      <c r="B694" s="11">
        <v>235.74367000000001</v>
      </c>
      <c r="C694" s="11">
        <v>221.15884</v>
      </c>
    </row>
    <row r="695" spans="1:3" x14ac:dyDescent="0.3">
      <c r="A695" s="7">
        <v>45253</v>
      </c>
      <c r="B695" s="11">
        <v>235.85727</v>
      </c>
      <c r="C695" s="11">
        <v>221.208</v>
      </c>
    </row>
    <row r="696" spans="1:3" x14ac:dyDescent="0.3">
      <c r="A696" s="7">
        <v>45254</v>
      </c>
      <c r="B696" s="11">
        <v>235.77006</v>
      </c>
      <c r="C696" s="11">
        <v>221.20131000000001</v>
      </c>
    </row>
    <row r="697" spans="1:3" x14ac:dyDescent="0.3">
      <c r="A697" s="7">
        <v>45255</v>
      </c>
      <c r="B697" s="11">
        <v>235.79418999999999</v>
      </c>
      <c r="C697" s="11">
        <v>221.22422</v>
      </c>
    </row>
    <row r="698" spans="1:3" x14ac:dyDescent="0.3">
      <c r="A698" s="7">
        <v>45256</v>
      </c>
      <c r="B698" s="11">
        <v>235.81833</v>
      </c>
      <c r="C698" s="11">
        <v>221.24712</v>
      </c>
    </row>
    <row r="699" spans="1:3" x14ac:dyDescent="0.3">
      <c r="A699" s="7">
        <v>45257</v>
      </c>
      <c r="B699" s="11">
        <v>235.83493000000001</v>
      </c>
      <c r="C699" s="11">
        <v>221.26797999999999</v>
      </c>
    </row>
    <row r="700" spans="1:3" x14ac:dyDescent="0.3">
      <c r="A700" s="7">
        <v>45258</v>
      </c>
      <c r="B700" s="11">
        <v>236.00552999999999</v>
      </c>
      <c r="C700" s="11">
        <v>221.33876000000001</v>
      </c>
    </row>
    <row r="701" spans="1:3" x14ac:dyDescent="0.3">
      <c r="A701" s="7">
        <v>45259</v>
      </c>
      <c r="B701" s="11">
        <v>236.38792000000001</v>
      </c>
      <c r="C701" s="11">
        <v>221.49278000000001</v>
      </c>
    </row>
    <row r="702" spans="1:3" x14ac:dyDescent="0.3">
      <c r="A702" s="7">
        <v>45260</v>
      </c>
      <c r="B702" s="11">
        <v>236.31226000000001</v>
      </c>
      <c r="C702" s="11">
        <v>221.50139999999999</v>
      </c>
    </row>
    <row r="703" spans="1:3" x14ac:dyDescent="0.3">
      <c r="A703" s="7">
        <v>45261</v>
      </c>
      <c r="B703" s="11">
        <v>236.35804999999999</v>
      </c>
      <c r="C703" s="11">
        <v>221.55401000000001</v>
      </c>
    </row>
    <row r="704" spans="1:3" x14ac:dyDescent="0.3">
      <c r="A704" s="7">
        <v>45262</v>
      </c>
      <c r="B704" s="11">
        <v>236.38184000000001</v>
      </c>
      <c r="C704" s="11">
        <v>221.57648</v>
      </c>
    </row>
    <row r="705" spans="1:3" x14ac:dyDescent="0.3">
      <c r="A705" s="7">
        <v>45263</v>
      </c>
      <c r="B705" s="11">
        <v>236.40561</v>
      </c>
      <c r="C705" s="11">
        <v>221.59895</v>
      </c>
    </row>
    <row r="706" spans="1:3" x14ac:dyDescent="0.3">
      <c r="A706" s="7">
        <v>45264</v>
      </c>
      <c r="B706" s="11">
        <v>236.64649</v>
      </c>
      <c r="C706" s="11">
        <v>221.7064</v>
      </c>
    </row>
    <row r="707" spans="1:3" x14ac:dyDescent="0.3">
      <c r="A707" s="7">
        <v>45265</v>
      </c>
      <c r="B707" s="11">
        <v>236.83930000000001</v>
      </c>
      <c r="C707" s="11">
        <v>221.78478999999999</v>
      </c>
    </row>
    <row r="708" spans="1:3" x14ac:dyDescent="0.3">
      <c r="A708" s="7">
        <v>45266</v>
      </c>
      <c r="B708" s="11">
        <v>236.92022</v>
      </c>
      <c r="C708" s="11">
        <v>221.82585</v>
      </c>
    </row>
    <row r="709" spans="1:3" x14ac:dyDescent="0.3">
      <c r="A709" s="7">
        <v>45267</v>
      </c>
      <c r="B709" s="11">
        <v>236.92022</v>
      </c>
      <c r="C709" s="11">
        <v>221.82585</v>
      </c>
    </row>
    <row r="710" spans="1:3" x14ac:dyDescent="0.3">
      <c r="A710" s="7">
        <v>45268</v>
      </c>
      <c r="B710" s="11">
        <v>236.98461</v>
      </c>
      <c r="C710" s="11">
        <v>221.87120999999999</v>
      </c>
    </row>
    <row r="711" spans="1:3" x14ac:dyDescent="0.3">
      <c r="A711" s="7">
        <v>45269</v>
      </c>
      <c r="B711" s="11">
        <v>237.00790000000001</v>
      </c>
      <c r="C711" s="11">
        <v>221.89304000000001</v>
      </c>
    </row>
    <row r="712" spans="1:3" x14ac:dyDescent="0.3">
      <c r="A712" s="7">
        <v>45270</v>
      </c>
      <c r="B712" s="11">
        <v>237.03108</v>
      </c>
      <c r="C712" s="11">
        <v>221.9152</v>
      </c>
    </row>
    <row r="713" spans="1:3" x14ac:dyDescent="0.3">
      <c r="A713" s="7">
        <v>45271</v>
      </c>
      <c r="B713" s="11">
        <v>236.87970000000001</v>
      </c>
      <c r="C713" s="11">
        <v>221.87607</v>
      </c>
    </row>
    <row r="714" spans="1:3" x14ac:dyDescent="0.3">
      <c r="A714" s="7">
        <v>45272</v>
      </c>
      <c r="B714" s="11">
        <v>237.00720000000001</v>
      </c>
      <c r="C714" s="11">
        <v>221.94038</v>
      </c>
    </row>
    <row r="715" spans="1:3" x14ac:dyDescent="0.3">
      <c r="A715" s="7">
        <v>45273</v>
      </c>
      <c r="B715" s="11">
        <v>236.9752</v>
      </c>
      <c r="C715" s="11">
        <v>221.94759999999999</v>
      </c>
    </row>
    <row r="716" spans="1:3" x14ac:dyDescent="0.3">
      <c r="A716" s="7">
        <v>45274</v>
      </c>
      <c r="B716" s="11">
        <v>237.89552</v>
      </c>
      <c r="C716" s="11">
        <v>222.33678</v>
      </c>
    </row>
    <row r="717" spans="1:3" x14ac:dyDescent="0.3">
      <c r="A717" s="7">
        <v>45275</v>
      </c>
      <c r="B717" s="11">
        <v>237.76427000000001</v>
      </c>
      <c r="C717" s="11">
        <v>222.32311999999999</v>
      </c>
    </row>
    <row r="718" spans="1:3" x14ac:dyDescent="0.3">
      <c r="A718" s="7">
        <v>45276</v>
      </c>
      <c r="B718" s="11">
        <v>237.78675000000001</v>
      </c>
      <c r="C718" s="11">
        <v>222.34465</v>
      </c>
    </row>
    <row r="719" spans="1:3" x14ac:dyDescent="0.3">
      <c r="A719" s="7">
        <v>45277</v>
      </c>
      <c r="B719" s="11">
        <v>237.80923000000001</v>
      </c>
      <c r="C719" s="11">
        <v>222.36618999999999</v>
      </c>
    </row>
    <row r="720" spans="1:3" x14ac:dyDescent="0.3">
      <c r="A720" s="7">
        <v>45278</v>
      </c>
      <c r="B720" s="11">
        <v>237.81077999999999</v>
      </c>
      <c r="C720" s="11">
        <v>222.37638000000001</v>
      </c>
    </row>
    <row r="721" spans="1:3" x14ac:dyDescent="0.3">
      <c r="A721" s="7">
        <v>45279</v>
      </c>
      <c r="B721" s="11">
        <v>237.81388999999999</v>
      </c>
      <c r="C721" s="11">
        <v>222.37452999999999</v>
      </c>
    </row>
    <row r="722" spans="1:3" x14ac:dyDescent="0.3">
      <c r="A722" s="7">
        <v>45280</v>
      </c>
      <c r="B722" s="11">
        <v>237.99669</v>
      </c>
      <c r="C722" s="11">
        <v>222.42984000000001</v>
      </c>
    </row>
    <row r="723" spans="1:3" x14ac:dyDescent="0.3">
      <c r="A723" s="7">
        <v>45281</v>
      </c>
      <c r="B723" s="11">
        <v>238.01335</v>
      </c>
      <c r="C723" s="11">
        <v>222.44755000000001</v>
      </c>
    </row>
    <row r="724" spans="1:3" x14ac:dyDescent="0.3">
      <c r="A724" s="7">
        <v>45282</v>
      </c>
      <c r="B724" s="11">
        <v>238.05999</v>
      </c>
      <c r="C724" s="11">
        <v>222.47454999999999</v>
      </c>
    </row>
    <row r="725" spans="1:3" x14ac:dyDescent="0.3">
      <c r="A725" s="7">
        <v>45283</v>
      </c>
      <c r="B725" s="11">
        <v>238.08235999999999</v>
      </c>
      <c r="C725" s="11">
        <v>222.49611999999999</v>
      </c>
    </row>
    <row r="726" spans="1:3" x14ac:dyDescent="0.3">
      <c r="A726" s="7">
        <v>45284</v>
      </c>
      <c r="B726" s="11">
        <v>238.10472999999999</v>
      </c>
      <c r="C726" s="11">
        <v>222.51769999999999</v>
      </c>
    </row>
    <row r="727" spans="1:3" x14ac:dyDescent="0.3">
      <c r="A727" s="7">
        <v>45285</v>
      </c>
      <c r="B727" s="11">
        <v>238.12710999999999</v>
      </c>
      <c r="C727" s="11">
        <v>222.53927999999999</v>
      </c>
    </row>
    <row r="728" spans="1:3" x14ac:dyDescent="0.3">
      <c r="A728" s="7">
        <v>45286</v>
      </c>
      <c r="B728" s="11">
        <v>238.18803</v>
      </c>
      <c r="C728" s="11">
        <v>222.56215</v>
      </c>
    </row>
    <row r="729" spans="1:3" x14ac:dyDescent="0.3">
      <c r="A729" s="7">
        <v>45287</v>
      </c>
      <c r="B729" s="11">
        <v>238.23193000000001</v>
      </c>
      <c r="C729" s="11">
        <v>222.59003000000001</v>
      </c>
    </row>
    <row r="730" spans="1:3" x14ac:dyDescent="0.3">
      <c r="A730" s="7">
        <v>45288</v>
      </c>
      <c r="B730" s="11">
        <v>238.50718000000001</v>
      </c>
      <c r="C730" s="11">
        <v>222.70715999999999</v>
      </c>
    </row>
    <row r="731" spans="1:3" x14ac:dyDescent="0.3">
      <c r="A731" s="7">
        <v>45289</v>
      </c>
      <c r="B731" s="11">
        <v>238.52922000000001</v>
      </c>
      <c r="C731" s="11">
        <v>222.72810999999999</v>
      </c>
    </row>
    <row r="732" spans="1:3" x14ac:dyDescent="0.3">
      <c r="A732" s="7">
        <v>45290</v>
      </c>
      <c r="B732" s="11">
        <v>238.55125000000001</v>
      </c>
      <c r="C732" s="11">
        <v>222.74951999999999</v>
      </c>
    </row>
    <row r="733" spans="1:3" x14ac:dyDescent="0.3">
      <c r="A733" s="7">
        <v>45291</v>
      </c>
      <c r="B733" s="11">
        <v>238.57328000000001</v>
      </c>
      <c r="C733" s="11">
        <v>222.77091999999999</v>
      </c>
    </row>
    <row r="734" spans="1:3" x14ac:dyDescent="0.3">
      <c r="A734" s="7">
        <v>45292</v>
      </c>
      <c r="B734" s="11">
        <v>238.59531999999999</v>
      </c>
      <c r="C734" s="11">
        <v>222.79234</v>
      </c>
    </row>
    <row r="735" spans="1:3" x14ac:dyDescent="0.3">
      <c r="A735" s="7">
        <v>45293</v>
      </c>
      <c r="B735" s="11">
        <v>238.24733000000001</v>
      </c>
      <c r="C735" s="11">
        <v>222.70466999999999</v>
      </c>
    </row>
    <row r="736" spans="1:3" x14ac:dyDescent="0.3">
      <c r="A736" s="7">
        <v>45294</v>
      </c>
      <c r="B736" s="11">
        <v>238.1343</v>
      </c>
      <c r="C736" s="11">
        <v>222.69979000000001</v>
      </c>
    </row>
    <row r="737" spans="1:3" x14ac:dyDescent="0.3">
      <c r="A737" s="7">
        <v>45295</v>
      </c>
      <c r="B737" s="11">
        <v>238.35427000000001</v>
      </c>
      <c r="C737" s="11">
        <v>222.80034000000001</v>
      </c>
    </row>
    <row r="738" spans="1:3" x14ac:dyDescent="0.3">
      <c r="A738" s="7">
        <v>45296</v>
      </c>
      <c r="B738" s="11">
        <v>238.19442000000001</v>
      </c>
      <c r="C738" s="11">
        <v>222.77152000000001</v>
      </c>
    </row>
    <row r="739" spans="1:3" x14ac:dyDescent="0.3">
      <c r="A739" s="7">
        <v>45297</v>
      </c>
      <c r="B739" s="11">
        <v>238.21626000000001</v>
      </c>
      <c r="C739" s="11">
        <v>222.79246000000001</v>
      </c>
    </row>
    <row r="740" spans="1:3" x14ac:dyDescent="0.3">
      <c r="A740" s="7">
        <v>45298</v>
      </c>
      <c r="B740" s="11">
        <v>238.23811000000001</v>
      </c>
      <c r="C740" s="11">
        <v>222.8134</v>
      </c>
    </row>
    <row r="741" spans="1:3" x14ac:dyDescent="0.3">
      <c r="A741" s="7">
        <v>45299</v>
      </c>
      <c r="B741" s="11">
        <v>238.24363</v>
      </c>
      <c r="C741" s="11">
        <v>222.84966</v>
      </c>
    </row>
    <row r="742" spans="1:3" x14ac:dyDescent="0.3">
      <c r="A742" s="7">
        <v>45300</v>
      </c>
      <c r="B742" s="11">
        <v>238.42919000000001</v>
      </c>
      <c r="C742" s="11">
        <v>222.93808999999999</v>
      </c>
    </row>
    <row r="743" spans="1:3" x14ac:dyDescent="0.3">
      <c r="A743" s="7">
        <v>45301</v>
      </c>
      <c r="B743" s="11">
        <v>238.39732000000001</v>
      </c>
      <c r="C743" s="11">
        <v>222.95384999999999</v>
      </c>
    </row>
    <row r="744" spans="1:3" x14ac:dyDescent="0.3">
      <c r="A744" s="7">
        <v>45302</v>
      </c>
      <c r="B744" s="11">
        <v>238.58700999999999</v>
      </c>
      <c r="C744" s="11">
        <v>223.05155999999999</v>
      </c>
    </row>
    <row r="745" spans="1:3" x14ac:dyDescent="0.3">
      <c r="A745" s="7">
        <v>45303</v>
      </c>
      <c r="B745" s="11">
        <v>238.71458000000001</v>
      </c>
      <c r="C745" s="11">
        <v>223.1182</v>
      </c>
    </row>
    <row r="746" spans="1:3" x14ac:dyDescent="0.3">
      <c r="A746" s="7">
        <v>45304</v>
      </c>
      <c r="B746" s="11">
        <v>238.73596000000001</v>
      </c>
      <c r="C746" s="11">
        <v>223.13865000000001</v>
      </c>
    </row>
    <row r="747" spans="1:3" x14ac:dyDescent="0.3">
      <c r="A747" s="7">
        <v>45305</v>
      </c>
      <c r="B747" s="11">
        <v>238.75735</v>
      </c>
      <c r="C747" s="11">
        <v>223.1591</v>
      </c>
    </row>
    <row r="748" spans="1:3" x14ac:dyDescent="0.3">
      <c r="A748" s="7">
        <v>45306</v>
      </c>
      <c r="B748" s="11">
        <v>238.80548999999999</v>
      </c>
      <c r="C748" s="11">
        <v>223.19254000000001</v>
      </c>
    </row>
    <row r="749" spans="1:3" x14ac:dyDescent="0.3">
      <c r="A749" s="7">
        <v>45307</v>
      </c>
      <c r="B749" s="11">
        <v>238.70001999999999</v>
      </c>
      <c r="C749" s="11">
        <v>223.18107000000001</v>
      </c>
    </row>
    <row r="750" spans="1:3" x14ac:dyDescent="0.3">
      <c r="A750" s="7">
        <v>45308</v>
      </c>
      <c r="B750" s="11">
        <v>238.58251000000001</v>
      </c>
      <c r="C750" s="11">
        <v>223.16660999999999</v>
      </c>
    </row>
    <row r="751" spans="1:3" x14ac:dyDescent="0.3">
      <c r="A751" s="7">
        <v>45309</v>
      </c>
      <c r="B751" s="11">
        <v>238.5959</v>
      </c>
      <c r="C751" s="11">
        <v>223.18447</v>
      </c>
    </row>
    <row r="752" spans="1:3" x14ac:dyDescent="0.3">
      <c r="A752" s="7">
        <v>45310</v>
      </c>
      <c r="B752" s="11">
        <v>238.50498999999999</v>
      </c>
      <c r="C752" s="11">
        <v>223.17496</v>
      </c>
    </row>
    <row r="753" spans="1:3" x14ac:dyDescent="0.3">
      <c r="A753" s="7">
        <v>45311</v>
      </c>
      <c r="B753" s="11">
        <v>238.52676</v>
      </c>
      <c r="C753" s="11">
        <v>223.19552999999999</v>
      </c>
    </row>
    <row r="754" spans="1:3" x14ac:dyDescent="0.3">
      <c r="A754" s="7">
        <v>45312</v>
      </c>
      <c r="B754" s="11">
        <v>238.54853</v>
      </c>
      <c r="C754" s="11">
        <v>223.21609000000001</v>
      </c>
    </row>
    <row r="755" spans="1:3" x14ac:dyDescent="0.3">
      <c r="A755" s="7">
        <v>45313</v>
      </c>
      <c r="B755" s="11">
        <v>238.68369000000001</v>
      </c>
      <c r="C755" s="11">
        <v>223.26856000000001</v>
      </c>
    </row>
    <row r="756" spans="1:3" x14ac:dyDescent="0.3">
      <c r="A756" s="7">
        <v>45314</v>
      </c>
      <c r="B756" s="11">
        <v>238.67456999999999</v>
      </c>
      <c r="C756" s="11">
        <v>223.27824000000001</v>
      </c>
    </row>
    <row r="757" spans="1:3" x14ac:dyDescent="0.3">
      <c r="A757" s="7">
        <v>45315</v>
      </c>
      <c r="B757" s="11">
        <v>238.67971</v>
      </c>
      <c r="C757" s="11">
        <v>223.28878</v>
      </c>
    </row>
    <row r="758" spans="1:3" x14ac:dyDescent="0.3">
      <c r="A758" s="7">
        <v>45316</v>
      </c>
      <c r="B758" s="11">
        <v>238.66727</v>
      </c>
      <c r="C758" s="11">
        <v>223.30278000000001</v>
      </c>
    </row>
    <row r="759" spans="1:3" x14ac:dyDescent="0.3">
      <c r="A759" s="7">
        <v>45317</v>
      </c>
      <c r="B759" s="11">
        <v>238.84244000000001</v>
      </c>
      <c r="C759" s="11">
        <v>223.36913999999999</v>
      </c>
    </row>
    <row r="760" spans="1:3" x14ac:dyDescent="0.3">
      <c r="A760" s="7">
        <v>45318</v>
      </c>
      <c r="B760" s="11">
        <v>238.86404999999999</v>
      </c>
      <c r="C760" s="11">
        <v>223.38967</v>
      </c>
    </row>
    <row r="761" spans="1:3" x14ac:dyDescent="0.3">
      <c r="A761" s="7">
        <v>45319</v>
      </c>
      <c r="B761" s="11">
        <v>238.88566</v>
      </c>
      <c r="C761" s="11">
        <v>223.4102</v>
      </c>
    </row>
    <row r="762" spans="1:3" x14ac:dyDescent="0.3">
      <c r="A762" s="7">
        <v>45320</v>
      </c>
      <c r="B762" s="11">
        <v>238.74983</v>
      </c>
      <c r="C762" s="11">
        <v>223.38494</v>
      </c>
    </row>
    <row r="763" spans="1:3" x14ac:dyDescent="0.3">
      <c r="A763" s="7">
        <v>45321</v>
      </c>
      <c r="B763" s="11">
        <v>238.91021000000001</v>
      </c>
      <c r="C763" s="11">
        <v>223.44394</v>
      </c>
    </row>
    <row r="764" spans="1:3" x14ac:dyDescent="0.3">
      <c r="A764" s="7">
        <v>45322</v>
      </c>
      <c r="B764" s="11">
        <v>238.98132000000001</v>
      </c>
      <c r="C764" s="11">
        <v>223.48392000000001</v>
      </c>
    </row>
    <row r="765" spans="1:3" x14ac:dyDescent="0.3">
      <c r="A765" s="7">
        <v>45323</v>
      </c>
      <c r="B765" s="11">
        <v>238.97541000000001</v>
      </c>
      <c r="C765" s="11">
        <v>223.49144999999999</v>
      </c>
    </row>
    <row r="766" spans="1:3" x14ac:dyDescent="0.3">
      <c r="A766" s="7">
        <v>45324</v>
      </c>
      <c r="B766" s="11">
        <v>239.09112999999999</v>
      </c>
      <c r="C766" s="11">
        <v>223.54513</v>
      </c>
    </row>
    <row r="767" spans="1:3" x14ac:dyDescent="0.3">
      <c r="A767" s="7">
        <v>45325</v>
      </c>
      <c r="B767" s="11">
        <v>239.11274</v>
      </c>
      <c r="C767" s="11">
        <v>223.56571</v>
      </c>
    </row>
    <row r="768" spans="1:3" x14ac:dyDescent="0.3">
      <c r="A768" s="7">
        <v>45326</v>
      </c>
      <c r="B768" s="11">
        <v>239.13435999999999</v>
      </c>
      <c r="C768" s="11">
        <v>223.58629999999999</v>
      </c>
    </row>
    <row r="769" spans="1:3" x14ac:dyDescent="0.3">
      <c r="A769" s="7">
        <v>45327</v>
      </c>
      <c r="B769" s="11">
        <v>238.91843</v>
      </c>
      <c r="C769" s="11">
        <v>223.53223</v>
      </c>
    </row>
    <row r="770" spans="1:3" x14ac:dyDescent="0.3">
      <c r="A770" s="7">
        <v>45328</v>
      </c>
      <c r="B770" s="11">
        <v>238.99261999999999</v>
      </c>
      <c r="C770" s="11">
        <v>223.57661999999999</v>
      </c>
    </row>
    <row r="771" spans="1:3" x14ac:dyDescent="0.3">
      <c r="A771" s="7">
        <v>45329</v>
      </c>
      <c r="B771" s="11">
        <v>239.03255999999999</v>
      </c>
      <c r="C771" s="11">
        <v>223.60051000000001</v>
      </c>
    </row>
    <row r="772" spans="1:3" x14ac:dyDescent="0.3">
      <c r="A772" s="7">
        <v>45330</v>
      </c>
      <c r="B772" s="11">
        <v>238.99046999999999</v>
      </c>
      <c r="C772" s="11">
        <v>223.60408000000001</v>
      </c>
    </row>
    <row r="773" spans="1:3" x14ac:dyDescent="0.3">
      <c r="A773" s="7">
        <v>45331</v>
      </c>
      <c r="B773" s="11">
        <v>239.01239000000001</v>
      </c>
      <c r="C773" s="11">
        <v>223.62484000000001</v>
      </c>
    </row>
    <row r="774" spans="1:3" x14ac:dyDescent="0.3">
      <c r="A774" s="7">
        <v>45332</v>
      </c>
      <c r="B774" s="11">
        <v>239.03432000000001</v>
      </c>
      <c r="C774" s="11">
        <v>223.64561</v>
      </c>
    </row>
    <row r="775" spans="1:3" x14ac:dyDescent="0.3">
      <c r="A775" s="7">
        <v>45333</v>
      </c>
      <c r="B775" s="11">
        <v>239.05624</v>
      </c>
      <c r="C775" s="11">
        <v>223.66637</v>
      </c>
    </row>
    <row r="776" spans="1:3" x14ac:dyDescent="0.3">
      <c r="A776" s="7">
        <v>45334</v>
      </c>
      <c r="B776" s="11">
        <v>239.07818</v>
      </c>
      <c r="C776" s="11">
        <v>223.68716000000001</v>
      </c>
    </row>
    <row r="777" spans="1:3" x14ac:dyDescent="0.3">
      <c r="A777" s="7">
        <v>45335</v>
      </c>
      <c r="B777" s="11">
        <v>238.94399000000001</v>
      </c>
      <c r="C777" s="11">
        <v>223.65912</v>
      </c>
    </row>
    <row r="778" spans="1:3" x14ac:dyDescent="0.3">
      <c r="A778" s="7">
        <v>45336</v>
      </c>
      <c r="B778" s="11">
        <v>238.72334000000001</v>
      </c>
      <c r="C778" s="11">
        <v>223.59669</v>
      </c>
    </row>
    <row r="779" spans="1:3" x14ac:dyDescent="0.3">
      <c r="A779" s="7">
        <v>45337</v>
      </c>
      <c r="B779" s="11">
        <v>238.78838999999999</v>
      </c>
      <c r="C779" s="11">
        <v>223.6352</v>
      </c>
    </row>
    <row r="780" spans="1:3" x14ac:dyDescent="0.3">
      <c r="A780" s="7">
        <v>45338</v>
      </c>
      <c r="B780" s="11">
        <v>238.81806</v>
      </c>
      <c r="C780" s="11">
        <v>223.65492</v>
      </c>
    </row>
    <row r="781" spans="1:3" x14ac:dyDescent="0.3">
      <c r="A781" s="7">
        <v>45339</v>
      </c>
      <c r="B781" s="11">
        <v>238.84045</v>
      </c>
      <c r="C781" s="11">
        <v>223.67596</v>
      </c>
    </row>
    <row r="782" spans="1:3" x14ac:dyDescent="0.3">
      <c r="A782" s="7">
        <v>45340</v>
      </c>
      <c r="B782" s="11">
        <v>238.86284000000001</v>
      </c>
      <c r="C782" s="11">
        <v>223.69701000000001</v>
      </c>
    </row>
    <row r="783" spans="1:3" x14ac:dyDescent="0.3">
      <c r="A783" s="7">
        <v>45341</v>
      </c>
      <c r="B783" s="11">
        <v>238.91594000000001</v>
      </c>
      <c r="C783" s="11">
        <v>223.72986</v>
      </c>
    </row>
    <row r="784" spans="1:3" x14ac:dyDescent="0.3">
      <c r="A784" s="7">
        <v>45342</v>
      </c>
      <c r="B784" s="11">
        <v>238.89536000000001</v>
      </c>
      <c r="C784" s="11">
        <v>223.74244999999999</v>
      </c>
    </row>
    <row r="785" spans="1:3" x14ac:dyDescent="0.3">
      <c r="A785" s="7">
        <v>45343</v>
      </c>
      <c r="B785" s="11">
        <v>238.9512</v>
      </c>
      <c r="C785" s="11">
        <v>223.76677000000001</v>
      </c>
    </row>
    <row r="786" spans="1:3" x14ac:dyDescent="0.3">
      <c r="A786" s="7">
        <v>45344</v>
      </c>
      <c r="B786" s="11">
        <v>239.15754999999999</v>
      </c>
      <c r="C786" s="11">
        <v>223.84153000000001</v>
      </c>
    </row>
    <row r="787" spans="1:3" x14ac:dyDescent="0.3">
      <c r="A787" s="7">
        <v>45345</v>
      </c>
      <c r="B787" s="11">
        <v>239.05341000000001</v>
      </c>
      <c r="C787" s="11">
        <v>223.82105000000001</v>
      </c>
    </row>
    <row r="788" spans="1:3" x14ac:dyDescent="0.3">
      <c r="A788" s="7">
        <v>45346</v>
      </c>
      <c r="B788" s="11">
        <v>239.07577000000001</v>
      </c>
      <c r="C788" s="11">
        <v>223.84214</v>
      </c>
    </row>
    <row r="789" spans="1:3" x14ac:dyDescent="0.3">
      <c r="A789" s="7">
        <v>45347</v>
      </c>
      <c r="B789" s="11">
        <v>239.09813</v>
      </c>
      <c r="C789" s="11">
        <v>223.86323999999999</v>
      </c>
    </row>
    <row r="790" spans="1:3" x14ac:dyDescent="0.3">
      <c r="A790" s="7">
        <v>45348</v>
      </c>
      <c r="B790" s="11">
        <v>239.26516000000001</v>
      </c>
      <c r="C790" s="11">
        <v>223.91292000000001</v>
      </c>
    </row>
    <row r="791" spans="1:3" x14ac:dyDescent="0.3">
      <c r="A791" s="7">
        <v>45349</v>
      </c>
      <c r="B791" s="11">
        <v>239.19762</v>
      </c>
      <c r="C791" s="11">
        <v>223.91376</v>
      </c>
    </row>
    <row r="792" spans="1:3" x14ac:dyDescent="0.3">
      <c r="A792" s="7">
        <v>45350</v>
      </c>
      <c r="B792" s="11">
        <v>239.20909</v>
      </c>
      <c r="C792" s="11">
        <v>223.93308999999999</v>
      </c>
    </row>
    <row r="793" spans="1:3" x14ac:dyDescent="0.3">
      <c r="A793" s="7">
        <v>45351</v>
      </c>
      <c r="B793" s="11">
        <v>239.17165</v>
      </c>
      <c r="C793" s="11">
        <v>223.93666999999999</v>
      </c>
    </row>
    <row r="794" spans="1:3" x14ac:dyDescent="0.3">
      <c r="A794" s="7">
        <v>45352</v>
      </c>
      <c r="B794" s="11">
        <v>239.19408000000001</v>
      </c>
      <c r="C794" s="11">
        <v>223.95784</v>
      </c>
    </row>
    <row r="795" spans="1:3" x14ac:dyDescent="0.3">
      <c r="A795" s="7">
        <v>45353</v>
      </c>
      <c r="B795" s="11">
        <v>239.21651</v>
      </c>
      <c r="C795" s="11">
        <v>223.97901999999999</v>
      </c>
    </row>
    <row r="796" spans="1:3" x14ac:dyDescent="0.3">
      <c r="A796" s="7">
        <v>45354</v>
      </c>
      <c r="B796" s="11">
        <v>239.23892000000001</v>
      </c>
      <c r="C796" s="11">
        <v>224.00020000000001</v>
      </c>
    </row>
    <row r="797" spans="1:3" x14ac:dyDescent="0.3">
      <c r="A797" s="7">
        <v>45355</v>
      </c>
      <c r="B797" s="11">
        <v>239.37003999999999</v>
      </c>
      <c r="C797" s="11">
        <v>224.06505000000001</v>
      </c>
    </row>
    <row r="798" spans="1:3" x14ac:dyDescent="0.3">
      <c r="A798" s="7">
        <v>45356</v>
      </c>
      <c r="B798" s="11">
        <v>239.41426999999999</v>
      </c>
      <c r="C798" s="11">
        <v>224.09021000000001</v>
      </c>
    </row>
    <row r="799" spans="1:3" x14ac:dyDescent="0.3">
      <c r="A799" s="7">
        <v>45357</v>
      </c>
      <c r="B799" s="11">
        <v>239.56084999999999</v>
      </c>
      <c r="C799" s="11">
        <v>224.15749</v>
      </c>
    </row>
    <row r="800" spans="1:3" x14ac:dyDescent="0.3">
      <c r="A800" s="7">
        <v>45358</v>
      </c>
      <c r="B800" s="11">
        <v>239.57959</v>
      </c>
      <c r="C800" s="11">
        <v>224.18413000000001</v>
      </c>
    </row>
    <row r="801" spans="1:3" x14ac:dyDescent="0.3">
      <c r="A801" s="7">
        <v>45359</v>
      </c>
      <c r="B801" s="11">
        <v>239.82193000000001</v>
      </c>
      <c r="C801" s="11">
        <v>224.27510000000001</v>
      </c>
    </row>
    <row r="802" spans="1:3" x14ac:dyDescent="0.3">
      <c r="A802" s="7">
        <v>45360</v>
      </c>
      <c r="B802" s="11">
        <v>239.84316999999999</v>
      </c>
      <c r="C802" s="11">
        <v>224.29587000000001</v>
      </c>
    </row>
    <row r="803" spans="1:3" x14ac:dyDescent="0.3">
      <c r="A803" s="7">
        <v>45361</v>
      </c>
      <c r="B803" s="11">
        <v>239.86496</v>
      </c>
      <c r="C803" s="11">
        <v>224.31679</v>
      </c>
    </row>
    <row r="804" spans="1:3" x14ac:dyDescent="0.3">
      <c r="A804" s="7">
        <v>45362</v>
      </c>
      <c r="B804" s="11">
        <v>239.84408999999999</v>
      </c>
      <c r="C804" s="11">
        <v>224.32679999999999</v>
      </c>
    </row>
    <row r="805" spans="1:3" x14ac:dyDescent="0.3">
      <c r="A805" s="7">
        <v>45363</v>
      </c>
      <c r="B805" s="11">
        <v>239.87107</v>
      </c>
      <c r="C805" s="11">
        <v>224.34951000000001</v>
      </c>
    </row>
    <row r="806" spans="1:3" x14ac:dyDescent="0.3">
      <c r="A806" s="7">
        <v>45364</v>
      </c>
      <c r="B806" s="11">
        <v>239.94898000000001</v>
      </c>
      <c r="C806" s="11">
        <v>224.38245000000001</v>
      </c>
    </row>
    <row r="807" spans="1:3" x14ac:dyDescent="0.3">
      <c r="A807" s="7">
        <v>45365</v>
      </c>
      <c r="B807" s="11">
        <v>239.89241000000001</v>
      </c>
      <c r="C807" s="11">
        <v>224.39411000000001</v>
      </c>
    </row>
    <row r="808" spans="1:3" x14ac:dyDescent="0.3">
      <c r="A808" s="7">
        <v>45366</v>
      </c>
      <c r="B808" s="11">
        <v>239.77401</v>
      </c>
      <c r="C808" s="11">
        <v>224.38336000000001</v>
      </c>
    </row>
    <row r="809" spans="1:3" x14ac:dyDescent="0.3">
      <c r="A809" s="7">
        <v>45367</v>
      </c>
      <c r="B809" s="11">
        <v>239.79604</v>
      </c>
      <c r="C809" s="11">
        <v>224.40430000000001</v>
      </c>
    </row>
    <row r="810" spans="1:3" x14ac:dyDescent="0.3">
      <c r="A810" s="7">
        <v>45368</v>
      </c>
      <c r="B810" s="11">
        <v>239.81807000000001</v>
      </c>
      <c r="C810" s="11">
        <v>224.42524</v>
      </c>
    </row>
    <row r="811" spans="1:3" x14ac:dyDescent="0.3">
      <c r="A811" s="7">
        <v>45369</v>
      </c>
      <c r="B811" s="11">
        <v>239.72371999999999</v>
      </c>
      <c r="C811" s="11">
        <v>224.42325</v>
      </c>
    </row>
    <row r="812" spans="1:3" x14ac:dyDescent="0.3">
      <c r="A812" s="7">
        <v>45370</v>
      </c>
      <c r="B812" s="11">
        <v>239.62074000000001</v>
      </c>
      <c r="C812" s="11">
        <v>224.41576000000001</v>
      </c>
    </row>
    <row r="813" spans="1:3" x14ac:dyDescent="0.3">
      <c r="A813" s="7">
        <v>45371</v>
      </c>
      <c r="B813" s="11">
        <v>239.76231999999999</v>
      </c>
      <c r="C813" s="11">
        <v>224.48358999999999</v>
      </c>
    </row>
    <row r="814" spans="1:3" x14ac:dyDescent="0.3">
      <c r="A814" s="7">
        <v>45372</v>
      </c>
      <c r="B814" s="11">
        <v>240.00243</v>
      </c>
      <c r="C814" s="11">
        <v>224.56772000000001</v>
      </c>
    </row>
    <row r="815" spans="1:3" x14ac:dyDescent="0.3">
      <c r="A815" s="7">
        <v>45373</v>
      </c>
      <c r="B815" s="11">
        <v>240.09386000000001</v>
      </c>
      <c r="C815" s="11">
        <v>224.60248000000001</v>
      </c>
    </row>
    <row r="816" spans="1:3" x14ac:dyDescent="0.3">
      <c r="A816" s="7">
        <v>45374</v>
      </c>
      <c r="B816" s="11">
        <v>240.1157</v>
      </c>
      <c r="C816" s="11">
        <v>224.62327999999999</v>
      </c>
    </row>
    <row r="817" spans="1:3" x14ac:dyDescent="0.3">
      <c r="A817" s="7">
        <v>45375</v>
      </c>
      <c r="B817" s="11">
        <v>240.13753</v>
      </c>
      <c r="C817" s="11">
        <v>224.64409000000001</v>
      </c>
    </row>
    <row r="818" spans="1:3" x14ac:dyDescent="0.3">
      <c r="A818" s="7">
        <v>45376</v>
      </c>
      <c r="B818" s="11">
        <v>240.16038</v>
      </c>
      <c r="C818" s="11">
        <v>224.66524000000001</v>
      </c>
    </row>
    <row r="819" spans="1:3" x14ac:dyDescent="0.3">
      <c r="A819" s="7">
        <v>45377</v>
      </c>
      <c r="B819" s="11">
        <v>240.14734000000001</v>
      </c>
      <c r="C819" s="11">
        <v>224.68084999999999</v>
      </c>
    </row>
    <row r="820" spans="1:3" x14ac:dyDescent="0.3">
      <c r="A820" s="7">
        <v>45378</v>
      </c>
      <c r="B820" s="11">
        <v>240.23432</v>
      </c>
      <c r="C820" s="11">
        <v>224.71473</v>
      </c>
    </row>
    <row r="821" spans="1:3" x14ac:dyDescent="0.3">
      <c r="A821" s="7">
        <v>45379</v>
      </c>
      <c r="B821" s="11">
        <v>240.22815</v>
      </c>
      <c r="C821" s="11">
        <v>224.7329</v>
      </c>
    </row>
    <row r="822" spans="1:3" x14ac:dyDescent="0.3">
      <c r="A822" s="7">
        <v>45380</v>
      </c>
      <c r="B822" s="11">
        <v>240.19380000000001</v>
      </c>
      <c r="C822" s="11">
        <v>224.75552999999999</v>
      </c>
    </row>
    <row r="823" spans="1:3" x14ac:dyDescent="0.3">
      <c r="A823" s="7">
        <v>45381</v>
      </c>
      <c r="B823" s="11">
        <v>240.21573000000001</v>
      </c>
      <c r="C823" s="11">
        <v>224.77633</v>
      </c>
    </row>
    <row r="824" spans="1:3" x14ac:dyDescent="0.3">
      <c r="A824" s="7">
        <v>45382</v>
      </c>
      <c r="B824" s="11">
        <v>240.23767000000001</v>
      </c>
      <c r="C824" s="11">
        <v>224.79713000000001</v>
      </c>
    </row>
    <row r="825" spans="1:3" x14ac:dyDescent="0.3">
      <c r="A825" s="7">
        <v>45383</v>
      </c>
      <c r="B825" s="11">
        <v>240.36393000000001</v>
      </c>
      <c r="C825" s="11">
        <v>224.86198999999999</v>
      </c>
    </row>
    <row r="826" spans="1:3" x14ac:dyDescent="0.3">
      <c r="A826" s="7">
        <v>45384</v>
      </c>
      <c r="B826" s="11">
        <v>240.26767000000001</v>
      </c>
      <c r="C826" s="11">
        <v>224.85551000000001</v>
      </c>
    </row>
    <row r="827" spans="1:3" x14ac:dyDescent="0.3">
      <c r="A827" s="7">
        <v>45385</v>
      </c>
      <c r="B827" s="11">
        <v>240.28700000000001</v>
      </c>
      <c r="C827" s="11">
        <v>224.88063</v>
      </c>
    </row>
    <row r="828" spans="1:3" x14ac:dyDescent="0.3">
      <c r="A828" s="7">
        <v>45386</v>
      </c>
      <c r="B828" s="11">
        <v>240.29025999999999</v>
      </c>
      <c r="C828" s="11">
        <v>224.90875</v>
      </c>
    </row>
    <row r="829" spans="1:3" x14ac:dyDescent="0.3">
      <c r="A829" s="7">
        <v>45387</v>
      </c>
      <c r="B829" s="11">
        <v>240.35694000000001</v>
      </c>
      <c r="C829" s="11">
        <v>224.95365000000001</v>
      </c>
    </row>
    <row r="830" spans="1:3" x14ac:dyDescent="0.3">
      <c r="A830" s="7">
        <v>45388</v>
      </c>
      <c r="B830" s="11">
        <v>240.37885</v>
      </c>
      <c r="C830" s="11">
        <v>224.97450000000001</v>
      </c>
    </row>
    <row r="831" spans="1:3" x14ac:dyDescent="0.3">
      <c r="A831" s="7">
        <v>45389</v>
      </c>
      <c r="B831" s="11">
        <v>240.40075999999999</v>
      </c>
      <c r="C831" s="11">
        <v>224.99535</v>
      </c>
    </row>
    <row r="832" spans="1:3" x14ac:dyDescent="0.3">
      <c r="A832" s="7">
        <v>45390</v>
      </c>
      <c r="B832" s="11">
        <v>240.25498999999999</v>
      </c>
      <c r="C832" s="11">
        <v>224.96232000000001</v>
      </c>
    </row>
    <row r="833" spans="1:3" x14ac:dyDescent="0.3">
      <c r="A833" s="7">
        <v>45391</v>
      </c>
      <c r="B833" s="11">
        <v>240.23526000000001</v>
      </c>
      <c r="C833" s="11">
        <v>224.97157000000001</v>
      </c>
    </row>
    <row r="834" spans="1:3" x14ac:dyDescent="0.3">
      <c r="A834" s="7">
        <v>45392</v>
      </c>
      <c r="B834" s="11">
        <v>240.25740999999999</v>
      </c>
      <c r="C834" s="11">
        <v>224.99252000000001</v>
      </c>
    </row>
    <row r="835" spans="1:3" x14ac:dyDescent="0.3">
      <c r="A835" s="7">
        <v>45393</v>
      </c>
      <c r="B835" s="11">
        <v>239.98349999999999</v>
      </c>
      <c r="C835" s="11">
        <v>224.89819</v>
      </c>
    </row>
    <row r="836" spans="1:3" x14ac:dyDescent="0.3">
      <c r="A836" s="7">
        <v>45394</v>
      </c>
      <c r="B836" s="11">
        <v>240.24803</v>
      </c>
      <c r="C836" s="11">
        <v>225.01235</v>
      </c>
    </row>
    <row r="837" spans="1:3" x14ac:dyDescent="0.3">
      <c r="A837" s="7">
        <v>45395</v>
      </c>
      <c r="B837" s="11">
        <v>240.27027000000001</v>
      </c>
      <c r="C837" s="11">
        <v>225.03335999999999</v>
      </c>
    </row>
    <row r="838" spans="1:3" x14ac:dyDescent="0.3">
      <c r="A838" s="7">
        <v>45396</v>
      </c>
      <c r="B838" s="11">
        <v>240.29252</v>
      </c>
      <c r="C838" s="11">
        <v>225.05436</v>
      </c>
    </row>
    <row r="839" spans="1:3" x14ac:dyDescent="0.3">
      <c r="A839" s="7">
        <v>45397</v>
      </c>
      <c r="B839" s="11">
        <v>240.18428</v>
      </c>
      <c r="C839" s="11">
        <v>225.04031000000001</v>
      </c>
    </row>
    <row r="840" spans="1:3" x14ac:dyDescent="0.3">
      <c r="A840" s="7">
        <v>45398</v>
      </c>
      <c r="B840" s="11">
        <v>240.10497000000001</v>
      </c>
      <c r="C840" s="11">
        <v>225.0326</v>
      </c>
    </row>
    <row r="841" spans="1:3" x14ac:dyDescent="0.3">
      <c r="A841" s="7">
        <v>45399</v>
      </c>
      <c r="B841" s="11">
        <v>240.14571000000001</v>
      </c>
      <c r="C841" s="11">
        <v>225.05734000000001</v>
      </c>
    </row>
    <row r="842" spans="1:3" x14ac:dyDescent="0.3">
      <c r="A842" s="7">
        <v>45400</v>
      </c>
      <c r="B842" s="11">
        <v>240.27664999999999</v>
      </c>
      <c r="C842" s="11">
        <v>225.11232000000001</v>
      </c>
    </row>
    <row r="843" spans="1:3" x14ac:dyDescent="0.3">
      <c r="A843" s="7">
        <v>45401</v>
      </c>
      <c r="B843" s="11">
        <v>240.12422000000001</v>
      </c>
      <c r="C843" s="11">
        <v>225.06870000000001</v>
      </c>
    </row>
    <row r="844" spans="1:3" x14ac:dyDescent="0.3">
      <c r="A844" s="7">
        <v>45402</v>
      </c>
      <c r="B844" s="11">
        <v>240.14678000000001</v>
      </c>
      <c r="C844" s="11">
        <v>225.08987999999999</v>
      </c>
    </row>
    <row r="845" spans="1:3" x14ac:dyDescent="0.3">
      <c r="A845" s="7">
        <v>45403</v>
      </c>
      <c r="B845" s="11">
        <v>240.16934000000001</v>
      </c>
      <c r="C845" s="11">
        <v>225.11107000000001</v>
      </c>
    </row>
    <row r="846" spans="1:3" x14ac:dyDescent="0.3">
      <c r="A846" s="7">
        <v>45404</v>
      </c>
      <c r="B846" s="11">
        <v>240.07248999999999</v>
      </c>
      <c r="C846" s="11">
        <v>225.09041999999999</v>
      </c>
    </row>
    <row r="847" spans="1:3" x14ac:dyDescent="0.3">
      <c r="A847" s="7">
        <v>45405</v>
      </c>
      <c r="B847" s="11">
        <v>240.17018999999999</v>
      </c>
      <c r="C847" s="11">
        <v>225.13278</v>
      </c>
    </row>
    <row r="848" spans="1:3" x14ac:dyDescent="0.3">
      <c r="A848" s="7">
        <v>45406</v>
      </c>
      <c r="B848" s="11">
        <v>240.14653999999999</v>
      </c>
      <c r="C848" s="11">
        <v>225.14778000000001</v>
      </c>
    </row>
    <row r="849" spans="1:3" x14ac:dyDescent="0.3">
      <c r="A849" s="7">
        <v>45407</v>
      </c>
      <c r="B849" s="11">
        <v>240.05502000000001</v>
      </c>
      <c r="C849" s="11">
        <v>225.12768</v>
      </c>
    </row>
    <row r="850" spans="1:3" x14ac:dyDescent="0.3">
      <c r="A850" s="7">
        <v>45408</v>
      </c>
      <c r="B850" s="11">
        <v>240.17017999999999</v>
      </c>
      <c r="C850" s="11">
        <v>225.1739</v>
      </c>
    </row>
    <row r="851" spans="1:3" x14ac:dyDescent="0.3">
      <c r="A851" s="7">
        <v>45409</v>
      </c>
      <c r="B851" s="11">
        <v>240.19290000000001</v>
      </c>
      <c r="C851" s="11">
        <v>225.1952</v>
      </c>
    </row>
    <row r="852" spans="1:3" x14ac:dyDescent="0.3">
      <c r="A852" s="7">
        <v>45410</v>
      </c>
      <c r="B852" s="11">
        <v>240.21561</v>
      </c>
      <c r="C852" s="11">
        <v>225.21648999999999</v>
      </c>
    </row>
    <row r="853" spans="1:3" x14ac:dyDescent="0.3">
      <c r="A853" s="7">
        <v>45411</v>
      </c>
      <c r="B853" s="11">
        <v>240.14642000000001</v>
      </c>
      <c r="C853" s="11">
        <v>225.20663999999999</v>
      </c>
    </row>
    <row r="854" spans="1:3" x14ac:dyDescent="0.3">
      <c r="A854" s="7">
        <v>45412</v>
      </c>
      <c r="B854" s="11">
        <v>240.22592</v>
      </c>
      <c r="C854" s="11">
        <v>225.23192</v>
      </c>
    </row>
    <row r="855" spans="1:3" x14ac:dyDescent="0.3">
      <c r="A855" s="7">
        <v>45413</v>
      </c>
      <c r="B855" s="11">
        <v>240.24870000000001</v>
      </c>
      <c r="C855" s="11">
        <v>225.2533</v>
      </c>
    </row>
    <row r="856" spans="1:3" x14ac:dyDescent="0.3">
      <c r="A856" s="7">
        <v>45414</v>
      </c>
      <c r="B856" s="11">
        <v>240.33575999999999</v>
      </c>
      <c r="C856" s="11">
        <v>225.30256</v>
      </c>
    </row>
    <row r="857" spans="1:3" x14ac:dyDescent="0.3">
      <c r="A857" s="7">
        <v>45415</v>
      </c>
      <c r="B857" s="11">
        <v>240.38632999999999</v>
      </c>
      <c r="C857" s="11">
        <v>225.32947999999999</v>
      </c>
    </row>
    <row r="858" spans="1:3" x14ac:dyDescent="0.3">
      <c r="A858" s="7">
        <v>45416</v>
      </c>
      <c r="B858" s="11">
        <v>240.40903</v>
      </c>
      <c r="C858" s="11">
        <v>225.35087999999999</v>
      </c>
    </row>
    <row r="859" spans="1:3" x14ac:dyDescent="0.3">
      <c r="A859" s="7">
        <v>45417</v>
      </c>
      <c r="B859" s="11">
        <v>240.43173999999999</v>
      </c>
      <c r="C859" s="11">
        <v>225.37226999999999</v>
      </c>
    </row>
    <row r="860" spans="1:3" x14ac:dyDescent="0.3">
      <c r="A860" s="7">
        <v>45418</v>
      </c>
      <c r="B860" s="11">
        <v>240.45445000000001</v>
      </c>
      <c r="C860" s="11">
        <v>225.39366000000001</v>
      </c>
    </row>
    <row r="861" spans="1:3" x14ac:dyDescent="0.3">
      <c r="A861" s="7">
        <v>45419</v>
      </c>
      <c r="B861" s="11">
        <v>240.69707</v>
      </c>
      <c r="C861" s="11">
        <v>225.48849999999999</v>
      </c>
    </row>
    <row r="862" spans="1:3" x14ac:dyDescent="0.3">
      <c r="A862" s="7">
        <v>45420</v>
      </c>
      <c r="B862" s="11">
        <v>240.74420000000001</v>
      </c>
      <c r="C862" s="11">
        <v>225.51676</v>
      </c>
    </row>
    <row r="863" spans="1:3" x14ac:dyDescent="0.3">
      <c r="A863" s="7">
        <v>45421</v>
      </c>
      <c r="B863" s="11">
        <v>240.71431000000001</v>
      </c>
      <c r="C863" s="11">
        <v>225.52531999999999</v>
      </c>
    </row>
    <row r="864" spans="1:3" x14ac:dyDescent="0.3">
      <c r="A864" s="7">
        <v>45422</v>
      </c>
      <c r="B864" s="11">
        <v>240.80107000000001</v>
      </c>
      <c r="C864" s="11">
        <v>225.56694999999999</v>
      </c>
    </row>
    <row r="865" spans="1:3" x14ac:dyDescent="0.3">
      <c r="A865" s="7">
        <v>45423</v>
      </c>
      <c r="B865" s="11">
        <v>240.82354000000001</v>
      </c>
      <c r="C865" s="11">
        <v>225.5882</v>
      </c>
    </row>
    <row r="866" spans="1:3" x14ac:dyDescent="0.3">
      <c r="A866" s="7">
        <v>45424</v>
      </c>
      <c r="B866" s="11">
        <v>240.84601000000001</v>
      </c>
      <c r="C866" s="11">
        <v>225.60945000000001</v>
      </c>
    </row>
    <row r="867" spans="1:3" x14ac:dyDescent="0.3">
      <c r="A867" s="7">
        <v>45425</v>
      </c>
      <c r="B867" s="11">
        <v>240.80789999999999</v>
      </c>
      <c r="C867" s="11">
        <v>225.61199999999999</v>
      </c>
    </row>
    <row r="868" spans="1:3" x14ac:dyDescent="0.3">
      <c r="A868" s="7">
        <v>45426</v>
      </c>
      <c r="B868" s="11">
        <v>240.83276000000001</v>
      </c>
      <c r="C868" s="11">
        <v>225.63678999999999</v>
      </c>
    </row>
    <row r="869" spans="1:3" x14ac:dyDescent="0.3">
      <c r="A869" s="7">
        <v>45427</v>
      </c>
      <c r="B869" s="11">
        <v>240.85531</v>
      </c>
      <c r="C869" s="11">
        <v>225.65807000000001</v>
      </c>
    </row>
    <row r="870" spans="1:3" x14ac:dyDescent="0.3">
      <c r="A870" s="7">
        <v>45428</v>
      </c>
      <c r="B870" s="11">
        <v>241.14591999999999</v>
      </c>
      <c r="C870" s="11">
        <v>225.76938000000001</v>
      </c>
    </row>
    <row r="871" spans="1:3" x14ac:dyDescent="0.3">
      <c r="A871" s="7">
        <v>45429</v>
      </c>
      <c r="B871" s="11">
        <v>241.17953</v>
      </c>
      <c r="C871" s="11">
        <v>225.79794999999999</v>
      </c>
    </row>
    <row r="872" spans="1:3" x14ac:dyDescent="0.3">
      <c r="A872" s="7">
        <v>45430</v>
      </c>
      <c r="B872" s="11">
        <v>241.20176000000001</v>
      </c>
      <c r="C872" s="11">
        <v>225.81905</v>
      </c>
    </row>
    <row r="873" spans="1:3" x14ac:dyDescent="0.3">
      <c r="A873" s="7">
        <v>45431</v>
      </c>
      <c r="B873" s="11">
        <v>241.22399999999999</v>
      </c>
      <c r="C873" s="11">
        <v>225.84014999999999</v>
      </c>
    </row>
    <row r="874" spans="1:3" x14ac:dyDescent="0.3">
      <c r="A874" s="7">
        <v>45432</v>
      </c>
      <c r="B874" s="11">
        <v>241.12629999999999</v>
      </c>
      <c r="C874" s="11">
        <v>225.82231999999999</v>
      </c>
    </row>
    <row r="875" spans="1:3" x14ac:dyDescent="0.3">
      <c r="A875" s="7">
        <v>45433</v>
      </c>
      <c r="B875" s="11">
        <v>241.13611</v>
      </c>
      <c r="C875" s="11">
        <v>225.83714000000001</v>
      </c>
    </row>
    <row r="876" spans="1:3" x14ac:dyDescent="0.3">
      <c r="A876" s="7">
        <v>45434</v>
      </c>
      <c r="B876" s="11">
        <v>241.14859999999999</v>
      </c>
      <c r="C876" s="11">
        <v>225.85515000000001</v>
      </c>
    </row>
    <row r="877" spans="1:3" x14ac:dyDescent="0.3">
      <c r="A877" s="7">
        <v>45435</v>
      </c>
      <c r="B877" s="11">
        <v>241.24653000000001</v>
      </c>
      <c r="C877" s="11">
        <v>225.89666</v>
      </c>
    </row>
    <row r="878" spans="1:3" x14ac:dyDescent="0.3">
      <c r="A878" s="7">
        <v>45436</v>
      </c>
      <c r="B878" s="11">
        <v>241.208</v>
      </c>
      <c r="C878" s="11">
        <v>225.9032</v>
      </c>
    </row>
    <row r="879" spans="1:3" x14ac:dyDescent="0.3">
      <c r="A879" s="7">
        <v>45437</v>
      </c>
      <c r="B879" s="11">
        <v>241.2304</v>
      </c>
      <c r="C879" s="11">
        <v>225.92437000000001</v>
      </c>
    </row>
    <row r="880" spans="1:3" x14ac:dyDescent="0.3">
      <c r="A880" s="7">
        <v>45438</v>
      </c>
      <c r="B880" s="11">
        <v>241.25280000000001</v>
      </c>
      <c r="C880" s="11">
        <v>225.94551999999999</v>
      </c>
    </row>
    <row r="881" spans="1:3" x14ac:dyDescent="0.3">
      <c r="A881" s="7">
        <v>45439</v>
      </c>
      <c r="B881" s="11">
        <v>241.30932999999999</v>
      </c>
      <c r="C881" s="11">
        <v>225.98562999999999</v>
      </c>
    </row>
    <row r="882" spans="1:3" x14ac:dyDescent="0.3">
      <c r="A882" s="7">
        <v>45440</v>
      </c>
      <c r="B882" s="11">
        <v>241.40207000000001</v>
      </c>
      <c r="C882" s="11">
        <v>226.02915999999999</v>
      </c>
    </row>
    <row r="883" spans="1:3" x14ac:dyDescent="0.3">
      <c r="A883" s="7">
        <v>45441</v>
      </c>
      <c r="B883" s="11">
        <v>241.29581999999999</v>
      </c>
      <c r="C883" s="11">
        <v>226.01768000000001</v>
      </c>
    </row>
    <row r="884" spans="1:3" x14ac:dyDescent="0.3">
      <c r="A884" s="7">
        <v>45442</v>
      </c>
      <c r="B884" s="11">
        <v>241.24625</v>
      </c>
      <c r="C884" s="11">
        <v>226.01446999999999</v>
      </c>
    </row>
    <row r="885" spans="1:3" x14ac:dyDescent="0.3">
      <c r="A885" s="7">
        <v>45443</v>
      </c>
      <c r="B885" s="11">
        <v>241.24643</v>
      </c>
      <c r="C885" s="11">
        <v>226.03334000000001</v>
      </c>
    </row>
    <row r="886" spans="1:3" x14ac:dyDescent="0.3">
      <c r="A886" s="7">
        <v>45444</v>
      </c>
      <c r="B886" s="11">
        <v>241.26894999999999</v>
      </c>
      <c r="C886" s="11">
        <v>226.05452</v>
      </c>
    </row>
    <row r="887" spans="1:3" x14ac:dyDescent="0.3">
      <c r="A887" s="7">
        <v>45445</v>
      </c>
      <c r="B887" s="11">
        <v>241.29148000000001</v>
      </c>
      <c r="C887" s="11">
        <v>226.07571999999999</v>
      </c>
    </row>
    <row r="888" spans="1:3" x14ac:dyDescent="0.3">
      <c r="A888" s="7">
        <v>45446</v>
      </c>
      <c r="B888" s="11">
        <v>241.40790000000001</v>
      </c>
      <c r="C888" s="11">
        <v>226.12350000000001</v>
      </c>
    </row>
    <row r="889" spans="1:3" x14ac:dyDescent="0.3">
      <c r="A889" s="7">
        <v>45447</v>
      </c>
      <c r="B889" s="11">
        <v>241.58837</v>
      </c>
      <c r="C889" s="11">
        <v>226.19726</v>
      </c>
    </row>
    <row r="890" spans="1:3" x14ac:dyDescent="0.3">
      <c r="A890" s="7">
        <v>45448</v>
      </c>
      <c r="B890" s="11">
        <v>241.76016000000001</v>
      </c>
      <c r="C890" s="11">
        <v>226.27006</v>
      </c>
    </row>
    <row r="891" spans="1:3" x14ac:dyDescent="0.3">
      <c r="A891" s="7">
        <v>45449</v>
      </c>
      <c r="B891" s="11">
        <v>241.78236999999999</v>
      </c>
      <c r="C891" s="11">
        <v>226.29114999999999</v>
      </c>
    </row>
    <row r="892" spans="1:3" x14ac:dyDescent="0.3">
      <c r="A892" s="7">
        <v>45450</v>
      </c>
      <c r="B892" s="11">
        <v>241.92929000000001</v>
      </c>
      <c r="C892" s="11">
        <v>226.34887000000001</v>
      </c>
    </row>
    <row r="893" spans="1:3" x14ac:dyDescent="0.3">
      <c r="A893" s="7">
        <v>45451</v>
      </c>
      <c r="B893" s="11">
        <v>241.95139</v>
      </c>
      <c r="C893" s="11">
        <v>226.36991</v>
      </c>
    </row>
    <row r="894" spans="1:3" x14ac:dyDescent="0.3">
      <c r="A894" s="7">
        <v>45452</v>
      </c>
      <c r="B894" s="11">
        <v>241.97349</v>
      </c>
      <c r="C894" s="11">
        <v>226.39095</v>
      </c>
    </row>
    <row r="895" spans="1:3" x14ac:dyDescent="0.3">
      <c r="A895" s="7">
        <v>45453</v>
      </c>
      <c r="B895" s="11">
        <v>241.80097000000001</v>
      </c>
      <c r="C895" s="11">
        <v>226.35310999999999</v>
      </c>
    </row>
    <row r="896" spans="1:3" x14ac:dyDescent="0.3">
      <c r="A896" s="7">
        <v>45454</v>
      </c>
      <c r="B896" s="11">
        <v>241.88439</v>
      </c>
      <c r="C896" s="11">
        <v>226.39291</v>
      </c>
    </row>
    <row r="897" spans="1:3" x14ac:dyDescent="0.3">
      <c r="A897" s="7">
        <v>45455</v>
      </c>
      <c r="B897" s="11">
        <v>242.05332000000001</v>
      </c>
      <c r="C897" s="11">
        <v>226.45957000000001</v>
      </c>
    </row>
    <row r="898" spans="1:3" x14ac:dyDescent="0.3">
      <c r="A898" s="7">
        <v>45456</v>
      </c>
      <c r="B898" s="11">
        <v>242.13038</v>
      </c>
      <c r="C898" s="11">
        <v>226.50156000000001</v>
      </c>
    </row>
    <row r="899" spans="1:3" x14ac:dyDescent="0.3">
      <c r="A899" s="7">
        <v>45457</v>
      </c>
      <c r="B899" s="11">
        <v>242.28519</v>
      </c>
      <c r="C899" s="11">
        <v>226.56416999999999</v>
      </c>
    </row>
    <row r="900" spans="1:3" x14ac:dyDescent="0.3">
      <c r="A900" s="7">
        <v>45458</v>
      </c>
      <c r="B900" s="11">
        <v>242.30704</v>
      </c>
      <c r="C900" s="11">
        <v>226.58507</v>
      </c>
    </row>
    <row r="901" spans="1:3" x14ac:dyDescent="0.3">
      <c r="A901" s="7">
        <v>45459</v>
      </c>
      <c r="B901" s="11">
        <v>242.32888</v>
      </c>
      <c r="C901" s="11">
        <v>226.60597000000001</v>
      </c>
    </row>
    <row r="902" spans="1:3" x14ac:dyDescent="0.3">
      <c r="A902" s="7">
        <v>45460</v>
      </c>
      <c r="B902" s="11">
        <v>242.47783000000001</v>
      </c>
      <c r="C902" s="11">
        <v>226.67223000000001</v>
      </c>
    </row>
    <row r="903" spans="1:3" x14ac:dyDescent="0.3">
      <c r="A903" s="7">
        <v>45461</v>
      </c>
      <c r="B903" s="11">
        <v>242.49628999999999</v>
      </c>
      <c r="C903" s="11">
        <v>226.69684000000001</v>
      </c>
    </row>
    <row r="904" spans="1:3" x14ac:dyDescent="0.3">
      <c r="A904" s="7">
        <v>45462</v>
      </c>
      <c r="B904" s="11">
        <v>242.70097999999999</v>
      </c>
      <c r="C904" s="11">
        <v>226.77602999999999</v>
      </c>
    </row>
    <row r="905" spans="1:3" x14ac:dyDescent="0.3">
      <c r="A905" s="7">
        <v>45463</v>
      </c>
      <c r="B905" s="11">
        <v>242.58439999999999</v>
      </c>
      <c r="C905" s="11">
        <v>226.75953999999999</v>
      </c>
    </row>
    <row r="906" spans="1:3" x14ac:dyDescent="0.3">
      <c r="A906" s="7">
        <v>45464</v>
      </c>
      <c r="B906" s="11">
        <v>242.71324999999999</v>
      </c>
      <c r="C906" s="11">
        <v>226.80790999999999</v>
      </c>
    </row>
    <row r="907" spans="1:3" x14ac:dyDescent="0.3">
      <c r="A907" s="7">
        <v>45465</v>
      </c>
      <c r="B907" s="11">
        <v>242.73481000000001</v>
      </c>
      <c r="C907" s="11">
        <v>226.82866000000001</v>
      </c>
    </row>
    <row r="908" spans="1:3" x14ac:dyDescent="0.3">
      <c r="A908" s="7">
        <v>45466</v>
      </c>
      <c r="B908" s="11">
        <v>242.75638000000001</v>
      </c>
      <c r="C908" s="11">
        <v>226.84942000000001</v>
      </c>
    </row>
    <row r="909" spans="1:3" x14ac:dyDescent="0.3">
      <c r="A909" s="7">
        <v>45467</v>
      </c>
      <c r="B909" s="11">
        <v>242.68181999999999</v>
      </c>
      <c r="C909" s="11">
        <v>226.84628000000001</v>
      </c>
    </row>
    <row r="910" spans="1:3" x14ac:dyDescent="0.3">
      <c r="A910" s="7">
        <v>45468</v>
      </c>
      <c r="B910" s="11">
        <v>242.68700000000001</v>
      </c>
      <c r="C910" s="11">
        <v>226.85945000000001</v>
      </c>
    </row>
    <row r="911" spans="1:3" x14ac:dyDescent="0.3">
      <c r="A911" s="7">
        <v>45469</v>
      </c>
      <c r="B911" s="11">
        <v>242.67241999999999</v>
      </c>
      <c r="C911" s="11">
        <v>226.87212</v>
      </c>
    </row>
    <row r="912" spans="1:3" x14ac:dyDescent="0.3">
      <c r="A912" s="7">
        <v>45470</v>
      </c>
      <c r="B912" s="11">
        <v>242.66332</v>
      </c>
      <c r="C912" s="11">
        <v>226.88837000000001</v>
      </c>
    </row>
    <row r="913" spans="1:3" x14ac:dyDescent="0.3">
      <c r="A913" s="7">
        <v>45471</v>
      </c>
      <c r="B913" s="11">
        <v>242.82941</v>
      </c>
      <c r="C913" s="11">
        <v>226.96106</v>
      </c>
    </row>
    <row r="914" spans="1:3" x14ac:dyDescent="0.3">
      <c r="A914" s="7">
        <v>45472</v>
      </c>
      <c r="B914" s="11">
        <v>242.85101</v>
      </c>
      <c r="C914" s="11">
        <v>226.98181</v>
      </c>
    </row>
    <row r="915" spans="1:3" x14ac:dyDescent="0.3">
      <c r="A915" s="7">
        <v>45473</v>
      </c>
      <c r="B915" s="11">
        <v>242.87260000000001</v>
      </c>
      <c r="C915" s="11">
        <v>227.00255999999999</v>
      </c>
    </row>
    <row r="916" spans="1:3" x14ac:dyDescent="0.3">
      <c r="A916" s="7">
        <v>45474</v>
      </c>
      <c r="B916" s="11">
        <v>242.79965000000001</v>
      </c>
      <c r="C916" s="11">
        <v>226.99865</v>
      </c>
    </row>
    <row r="917" spans="1:3" x14ac:dyDescent="0.3">
      <c r="A917" s="7">
        <v>45475</v>
      </c>
      <c r="B917" s="11">
        <v>243.04285999999999</v>
      </c>
      <c r="C917" s="11">
        <v>227.13139000000001</v>
      </c>
    </row>
    <row r="918" spans="1:3" x14ac:dyDescent="0.3">
      <c r="A918" s="7">
        <v>45476</v>
      </c>
      <c r="B918" s="11">
        <v>243.08303000000001</v>
      </c>
      <c r="C918" s="11">
        <v>227.17891</v>
      </c>
    </row>
    <row r="919" spans="1:3" x14ac:dyDescent="0.3">
      <c r="A919" s="7">
        <v>45477</v>
      </c>
      <c r="B919" s="11">
        <v>243.27284</v>
      </c>
      <c r="C919" s="11">
        <v>227.28915000000001</v>
      </c>
    </row>
    <row r="920" spans="1:3" x14ac:dyDescent="0.3">
      <c r="A920" s="7">
        <v>45478</v>
      </c>
      <c r="B920" s="11">
        <v>243.34175999999999</v>
      </c>
      <c r="C920" s="11">
        <v>227.33497</v>
      </c>
    </row>
    <row r="921" spans="1:3" x14ac:dyDescent="0.3">
      <c r="A921" s="7">
        <v>45479</v>
      </c>
      <c r="B921" s="11">
        <v>243.36284000000001</v>
      </c>
      <c r="C921" s="11">
        <v>227.3552</v>
      </c>
    </row>
    <row r="922" spans="1:3" x14ac:dyDescent="0.3">
      <c r="A922" s="7">
        <v>45480</v>
      </c>
      <c r="B922" s="11">
        <v>243.38391999999999</v>
      </c>
      <c r="C922" s="11">
        <v>227.37542999999999</v>
      </c>
    </row>
    <row r="923" spans="1:3" x14ac:dyDescent="0.3">
      <c r="A923" s="7">
        <v>45481</v>
      </c>
      <c r="B923" s="11">
        <v>243.39400000000001</v>
      </c>
      <c r="C923" s="11">
        <v>227.40232</v>
      </c>
    </row>
    <row r="924" spans="1:3" x14ac:dyDescent="0.3">
      <c r="A924" s="7">
        <v>45482</v>
      </c>
      <c r="B924" s="11">
        <v>243.42622</v>
      </c>
      <c r="C924" s="11">
        <v>227.42837</v>
      </c>
    </row>
    <row r="925" spans="1:3" x14ac:dyDescent="0.3">
      <c r="A925" s="7">
        <v>45483</v>
      </c>
      <c r="B925" s="11">
        <v>243.44954000000001</v>
      </c>
      <c r="C925" s="11">
        <v>227.45139</v>
      </c>
    </row>
    <row r="926" spans="1:3" x14ac:dyDescent="0.3">
      <c r="A926" s="7">
        <v>45484</v>
      </c>
      <c r="B926" s="11">
        <v>243.29653999999999</v>
      </c>
      <c r="C926" s="11">
        <v>227.39801</v>
      </c>
    </row>
    <row r="927" spans="1:3" x14ac:dyDescent="0.3">
      <c r="A927" s="7">
        <v>45485</v>
      </c>
      <c r="B927" s="11">
        <v>243.54798</v>
      </c>
      <c r="C927" s="11">
        <v>227.49127999999999</v>
      </c>
    </row>
    <row r="928" spans="1:3" x14ac:dyDescent="0.3">
      <c r="A928" s="7">
        <v>45486</v>
      </c>
      <c r="B928" s="11">
        <v>243.56903</v>
      </c>
      <c r="C928" s="11">
        <v>227.51147</v>
      </c>
    </row>
    <row r="929" spans="1:3" x14ac:dyDescent="0.3">
      <c r="A929" s="7">
        <v>45487</v>
      </c>
      <c r="B929" s="11">
        <v>243.59008</v>
      </c>
      <c r="C929" s="11">
        <v>227.53165000000001</v>
      </c>
    </row>
    <row r="930" spans="1:3" x14ac:dyDescent="0.3">
      <c r="A930" s="7">
        <v>45488</v>
      </c>
      <c r="B930" s="11">
        <v>243.68799999999999</v>
      </c>
      <c r="C930" s="11">
        <v>227.58243999999999</v>
      </c>
    </row>
    <row r="931" spans="1:3" x14ac:dyDescent="0.3">
      <c r="A931" s="7">
        <v>45489</v>
      </c>
      <c r="B931" s="11">
        <v>243.84103999999999</v>
      </c>
      <c r="C931" s="11">
        <v>227.63897</v>
      </c>
    </row>
    <row r="932" spans="1:3" x14ac:dyDescent="0.3">
      <c r="A932" s="7">
        <v>45490</v>
      </c>
      <c r="B932" s="11">
        <v>243.79019</v>
      </c>
      <c r="C932" s="11">
        <v>227.63750999999999</v>
      </c>
    </row>
    <row r="933" spans="1:3" x14ac:dyDescent="0.3">
      <c r="A933" s="7">
        <v>45491</v>
      </c>
      <c r="B933" s="11">
        <v>243.78389000000001</v>
      </c>
      <c r="C933" s="11">
        <v>227.64142000000001</v>
      </c>
    </row>
    <row r="934" spans="1:3" x14ac:dyDescent="0.3">
      <c r="A934" s="7">
        <v>45492</v>
      </c>
      <c r="B934" s="11">
        <v>243.74712</v>
      </c>
      <c r="C934" s="11">
        <v>227.64207999999999</v>
      </c>
    </row>
    <row r="935" spans="1:3" x14ac:dyDescent="0.3">
      <c r="A935" s="7">
        <v>45493</v>
      </c>
      <c r="B935" s="11">
        <v>243.76817</v>
      </c>
      <c r="C935" s="11">
        <v>227.66228000000001</v>
      </c>
    </row>
    <row r="936" spans="1:3" x14ac:dyDescent="0.3">
      <c r="A936" s="7">
        <v>45494</v>
      </c>
      <c r="B936" s="11">
        <v>243.78923</v>
      </c>
      <c r="C936" s="11">
        <v>227.68249</v>
      </c>
    </row>
    <row r="937" spans="1:3" x14ac:dyDescent="0.3">
      <c r="A937" s="7">
        <v>45495</v>
      </c>
      <c r="B937" s="11">
        <v>243.83853999999999</v>
      </c>
      <c r="C937" s="11">
        <v>227.70912000000001</v>
      </c>
    </row>
    <row r="938" spans="1:3" x14ac:dyDescent="0.3">
      <c r="A938" s="7">
        <v>45496</v>
      </c>
      <c r="B938" s="11">
        <v>243.78855999999999</v>
      </c>
      <c r="C938" s="11">
        <v>227.70919000000001</v>
      </c>
    </row>
    <row r="939" spans="1:3" x14ac:dyDescent="0.3">
      <c r="A939" s="7">
        <v>45497</v>
      </c>
      <c r="B939" s="11">
        <v>243.94766000000001</v>
      </c>
      <c r="C939" s="11">
        <v>227.77270999999999</v>
      </c>
    </row>
    <row r="940" spans="1:3" x14ac:dyDescent="0.3">
      <c r="A940" s="7">
        <v>45498</v>
      </c>
      <c r="B940" s="11">
        <v>244.06691000000001</v>
      </c>
      <c r="C940" s="11">
        <v>227.83189999999999</v>
      </c>
    </row>
    <row r="941" spans="1:3" x14ac:dyDescent="0.3">
      <c r="A941" s="7">
        <v>45499</v>
      </c>
      <c r="B941" s="11">
        <v>244.09939</v>
      </c>
      <c r="C941" s="11">
        <v>227.8588</v>
      </c>
    </row>
    <row r="942" spans="1:3" x14ac:dyDescent="0.3">
      <c r="A942" s="7">
        <v>45500</v>
      </c>
      <c r="B942" s="11">
        <v>244.12018</v>
      </c>
      <c r="C942" s="11">
        <v>227.87884</v>
      </c>
    </row>
    <row r="943" spans="1:3" x14ac:dyDescent="0.3">
      <c r="A943" s="7">
        <v>45501</v>
      </c>
      <c r="B943" s="11">
        <v>244.14098999999999</v>
      </c>
      <c r="C943" s="11">
        <v>227.89886999999999</v>
      </c>
    </row>
    <row r="944" spans="1:3" x14ac:dyDescent="0.3">
      <c r="A944" s="7">
        <v>45502</v>
      </c>
      <c r="B944" s="11">
        <v>244.34050999999999</v>
      </c>
      <c r="C944" s="11">
        <v>227.97255999999999</v>
      </c>
    </row>
    <row r="945" spans="1:3" x14ac:dyDescent="0.3">
      <c r="A945" s="7">
        <v>45503</v>
      </c>
      <c r="B945" s="11">
        <v>244.27259000000001</v>
      </c>
      <c r="C945" s="11">
        <v>227.95972</v>
      </c>
    </row>
    <row r="946" spans="1:3" x14ac:dyDescent="0.3">
      <c r="A946" s="7">
        <v>45504</v>
      </c>
      <c r="B946" s="11">
        <v>244.26582999999999</v>
      </c>
      <c r="C946" s="11">
        <v>227.97333</v>
      </c>
    </row>
    <row r="947" spans="1:3" x14ac:dyDescent="0.3">
      <c r="A947" s="7">
        <v>45505</v>
      </c>
      <c r="B947" s="11">
        <v>244.38774000000001</v>
      </c>
      <c r="C947" s="11">
        <v>228.02663999999999</v>
      </c>
    </row>
    <row r="948" spans="1:3" x14ac:dyDescent="0.3">
      <c r="A948" s="7">
        <v>45506</v>
      </c>
      <c r="B948" s="11">
        <v>244.55153999999999</v>
      </c>
      <c r="C948" s="11">
        <v>228.10063</v>
      </c>
    </row>
    <row r="949" spans="1:3" x14ac:dyDescent="0.3">
      <c r="A949" s="7">
        <v>45507</v>
      </c>
      <c r="B949" s="11">
        <v>244.57196999999999</v>
      </c>
      <c r="C949" s="11">
        <v>228.12048999999999</v>
      </c>
    </row>
    <row r="950" spans="1:3" x14ac:dyDescent="0.3">
      <c r="A950" s="7">
        <v>45508</v>
      </c>
      <c r="B950" s="11">
        <v>244.5924</v>
      </c>
      <c r="C950" s="11">
        <v>228.14035999999999</v>
      </c>
    </row>
    <row r="951" spans="1:3" x14ac:dyDescent="0.3">
      <c r="A951" s="7">
        <v>45509</v>
      </c>
      <c r="B951" s="11">
        <v>245.10781</v>
      </c>
      <c r="C951" s="11">
        <v>228.33821</v>
      </c>
    </row>
    <row r="952" spans="1:3" x14ac:dyDescent="0.3">
      <c r="A952" s="7">
        <v>45510</v>
      </c>
      <c r="B952" s="11">
        <v>244.65162000000001</v>
      </c>
      <c r="C952" s="11">
        <v>228.20824999999999</v>
      </c>
    </row>
    <row r="953" spans="1:3" x14ac:dyDescent="0.3">
      <c r="A953" s="7">
        <v>45511</v>
      </c>
      <c r="B953" s="11">
        <v>244.67697999999999</v>
      </c>
      <c r="C953" s="11">
        <v>228.22525999999999</v>
      </c>
    </row>
    <row r="954" spans="1:3" x14ac:dyDescent="0.3">
      <c r="A954" s="7">
        <v>45512</v>
      </c>
      <c r="B954" s="11">
        <v>244.76043999999999</v>
      </c>
      <c r="C954" s="11">
        <v>228.26622</v>
      </c>
    </row>
    <row r="955" spans="1:3" x14ac:dyDescent="0.3">
      <c r="A955" s="7">
        <v>45513</v>
      </c>
      <c r="B955" s="11">
        <v>244.70402999999999</v>
      </c>
      <c r="C955" s="11">
        <v>228.26114000000001</v>
      </c>
    </row>
    <row r="956" spans="1:3" x14ac:dyDescent="0.3">
      <c r="A956" s="7">
        <v>45514</v>
      </c>
      <c r="B956" s="11">
        <v>244.72441000000001</v>
      </c>
      <c r="C956" s="11">
        <v>228.28093000000001</v>
      </c>
    </row>
    <row r="957" spans="1:3" x14ac:dyDescent="0.3">
      <c r="A957" s="7">
        <v>45515</v>
      </c>
      <c r="B957" s="11">
        <v>244.74478999999999</v>
      </c>
      <c r="C957" s="11">
        <v>228.30072000000001</v>
      </c>
    </row>
    <row r="958" spans="1:3" x14ac:dyDescent="0.3">
      <c r="A958" s="7">
        <v>45516</v>
      </c>
      <c r="B958" s="11">
        <v>244.74327</v>
      </c>
      <c r="C958" s="11">
        <v>228.3117</v>
      </c>
    </row>
    <row r="959" spans="1:3" x14ac:dyDescent="0.3">
      <c r="A959" s="7">
        <v>45517</v>
      </c>
      <c r="B959" s="11">
        <v>244.85015999999999</v>
      </c>
      <c r="C959" s="11">
        <v>228.35207</v>
      </c>
    </row>
    <row r="960" spans="1:3" x14ac:dyDescent="0.3">
      <c r="A960" s="7">
        <v>45518</v>
      </c>
      <c r="B960" s="11">
        <v>244.95556999999999</v>
      </c>
      <c r="C960" s="11">
        <v>228.39076</v>
      </c>
    </row>
    <row r="961" spans="1:3" x14ac:dyDescent="0.3">
      <c r="A961" s="7">
        <v>45519</v>
      </c>
      <c r="B961" s="11">
        <v>244.97579999999999</v>
      </c>
      <c r="C961" s="11">
        <v>228.41051999999999</v>
      </c>
    </row>
    <row r="962" spans="1:3" x14ac:dyDescent="0.3">
      <c r="A962" s="7">
        <v>45520</v>
      </c>
      <c r="B962" s="11">
        <v>244.85901000000001</v>
      </c>
      <c r="C962" s="11">
        <v>228.37213</v>
      </c>
    </row>
    <row r="963" spans="1:3" x14ac:dyDescent="0.3">
      <c r="A963" s="7">
        <v>45521</v>
      </c>
      <c r="B963" s="11">
        <v>244.87939</v>
      </c>
      <c r="C963" s="11">
        <v>228.392</v>
      </c>
    </row>
    <row r="964" spans="1:3" x14ac:dyDescent="0.3">
      <c r="A964" s="7">
        <v>45522</v>
      </c>
      <c r="B964" s="11">
        <v>244.89977999999999</v>
      </c>
      <c r="C964" s="11">
        <v>228.41186999999999</v>
      </c>
    </row>
    <row r="965" spans="1:3" x14ac:dyDescent="0.3">
      <c r="A965" s="7">
        <v>45523</v>
      </c>
      <c r="B965" s="11">
        <v>244.9066</v>
      </c>
      <c r="C965" s="11">
        <v>228.42061000000001</v>
      </c>
    </row>
    <row r="966" spans="1:3" x14ac:dyDescent="0.3">
      <c r="A966" s="7">
        <v>45524</v>
      </c>
      <c r="B966" s="11">
        <v>244.86229</v>
      </c>
      <c r="C966" s="11">
        <v>228.41353000000001</v>
      </c>
    </row>
    <row r="967" spans="1:3" x14ac:dyDescent="0.3">
      <c r="A967" s="7">
        <v>45525</v>
      </c>
      <c r="B967" s="11">
        <v>244.89689999999999</v>
      </c>
      <c r="C967" s="11">
        <v>228.43478999999999</v>
      </c>
    </row>
    <row r="968" spans="1:3" x14ac:dyDescent="0.3">
      <c r="A968" s="7">
        <v>45526</v>
      </c>
      <c r="B968" s="11">
        <v>245.03783000000001</v>
      </c>
      <c r="C968" s="11">
        <v>228.49931000000001</v>
      </c>
    </row>
    <row r="969" spans="1:3" x14ac:dyDescent="0.3">
      <c r="A969" s="7">
        <v>45527</v>
      </c>
      <c r="B969" s="11">
        <v>244.98311000000001</v>
      </c>
      <c r="C969" s="11">
        <v>228.48036999999999</v>
      </c>
    </row>
    <row r="970" spans="1:3" x14ac:dyDescent="0.3">
      <c r="A970" s="7">
        <v>45528</v>
      </c>
      <c r="B970" s="11">
        <v>245.00353999999999</v>
      </c>
      <c r="C970" s="11">
        <v>228.50033999999999</v>
      </c>
    </row>
    <row r="971" spans="1:3" x14ac:dyDescent="0.3">
      <c r="A971" s="7">
        <v>45529</v>
      </c>
      <c r="B971" s="11">
        <v>245.02396999999999</v>
      </c>
      <c r="C971" s="11">
        <v>228.52032</v>
      </c>
    </row>
    <row r="972" spans="1:3" x14ac:dyDescent="0.3">
      <c r="A972" s="7">
        <v>45530</v>
      </c>
      <c r="B972" s="11">
        <v>245.13306</v>
      </c>
      <c r="C972" s="11">
        <v>228.56530000000001</v>
      </c>
    </row>
    <row r="973" spans="1:3" x14ac:dyDescent="0.3">
      <c r="A973" s="7">
        <v>45531</v>
      </c>
      <c r="B973" s="11">
        <v>244.98140000000001</v>
      </c>
      <c r="C973" s="11">
        <v>228.52473000000001</v>
      </c>
    </row>
    <row r="974" spans="1:3" x14ac:dyDescent="0.3">
      <c r="A974" s="7">
        <v>45532</v>
      </c>
      <c r="B974" s="11">
        <v>245.05923999999999</v>
      </c>
      <c r="C974" s="11">
        <v>228.56126</v>
      </c>
    </row>
    <row r="975" spans="1:3" x14ac:dyDescent="0.3">
      <c r="A975" s="7">
        <v>45533</v>
      </c>
      <c r="B975" s="11">
        <v>244.9787</v>
      </c>
      <c r="C975" s="11">
        <v>228.5421</v>
      </c>
    </row>
    <row r="976" spans="1:3" x14ac:dyDescent="0.3">
      <c r="A976" s="7">
        <v>45534</v>
      </c>
      <c r="B976" s="11">
        <v>244.94532000000001</v>
      </c>
      <c r="C976" s="11">
        <v>228.54532</v>
      </c>
    </row>
    <row r="977" spans="1:3" x14ac:dyDescent="0.3">
      <c r="A977" s="7">
        <v>45535</v>
      </c>
      <c r="B977" s="11">
        <v>244.96597</v>
      </c>
      <c r="C977" s="11">
        <v>228.56547</v>
      </c>
    </row>
    <row r="978" spans="1:3" x14ac:dyDescent="0.3">
      <c r="A978" s="7">
        <v>45536</v>
      </c>
      <c r="B978" s="11">
        <v>244.98662999999999</v>
      </c>
      <c r="C978" s="11">
        <v>228.58563000000001</v>
      </c>
    </row>
    <row r="979" spans="1:3" x14ac:dyDescent="0.3">
      <c r="A979" s="7">
        <v>45537</v>
      </c>
      <c r="B979" s="11">
        <v>244.87515999999999</v>
      </c>
      <c r="C979" s="11">
        <v>228.56539000000001</v>
      </c>
    </row>
    <row r="980" spans="1:3" x14ac:dyDescent="0.3">
      <c r="A980" s="7">
        <v>45538</v>
      </c>
      <c r="B980" s="11">
        <v>244.92796999999999</v>
      </c>
      <c r="C980" s="11">
        <v>228.59694999999999</v>
      </c>
    </row>
    <row r="981" spans="1:3" x14ac:dyDescent="0.3">
      <c r="A981" s="7">
        <v>45539</v>
      </c>
      <c r="B981" s="11">
        <v>245.16112000000001</v>
      </c>
      <c r="C981" s="11">
        <v>228.69264999999999</v>
      </c>
    </row>
    <row r="982" spans="1:3" x14ac:dyDescent="0.3">
      <c r="A982" s="7">
        <v>45540</v>
      </c>
      <c r="B982" s="11">
        <v>245.25064</v>
      </c>
      <c r="C982" s="11">
        <v>228.73793000000001</v>
      </c>
    </row>
    <row r="983" spans="1:3" x14ac:dyDescent="0.3">
      <c r="A983" s="7">
        <v>45541</v>
      </c>
      <c r="B983" s="11">
        <v>245.39246</v>
      </c>
      <c r="C983" s="11">
        <v>228.80261999999999</v>
      </c>
    </row>
    <row r="984" spans="1:3" x14ac:dyDescent="0.3">
      <c r="A984" s="7">
        <v>45542</v>
      </c>
      <c r="B984" s="11">
        <v>245.41265999999999</v>
      </c>
      <c r="C984" s="11">
        <v>228.82237000000001</v>
      </c>
    </row>
    <row r="985" spans="1:3" x14ac:dyDescent="0.3">
      <c r="A985" s="7">
        <v>45543</v>
      </c>
      <c r="B985" s="11">
        <v>245.43287000000001</v>
      </c>
      <c r="C985" s="11">
        <v>228.84213</v>
      </c>
    </row>
    <row r="986" spans="1:3" x14ac:dyDescent="0.3">
      <c r="A986" s="7">
        <v>45544</v>
      </c>
      <c r="B986" s="11">
        <v>245.38709</v>
      </c>
      <c r="C986" s="11">
        <v>228.85413</v>
      </c>
    </row>
    <row r="987" spans="1:3" x14ac:dyDescent="0.3">
      <c r="A987" s="7">
        <v>45545</v>
      </c>
      <c r="B987" s="11">
        <v>245.47448</v>
      </c>
      <c r="C987" s="11">
        <v>228.90026</v>
      </c>
    </row>
    <row r="988" spans="1:3" x14ac:dyDescent="0.3">
      <c r="A988" s="7">
        <v>45546</v>
      </c>
      <c r="B988" s="11">
        <v>245.67561000000001</v>
      </c>
      <c r="C988" s="11">
        <v>228.97981999999999</v>
      </c>
    </row>
    <row r="989" spans="1:3" x14ac:dyDescent="0.3">
      <c r="A989" s="7">
        <v>45547</v>
      </c>
      <c r="B989" s="11">
        <v>245.51557</v>
      </c>
      <c r="C989" s="11">
        <v>228.94101000000001</v>
      </c>
    </row>
    <row r="990" spans="1:3" x14ac:dyDescent="0.3">
      <c r="A990" s="7">
        <v>45548</v>
      </c>
      <c r="B990" s="11">
        <v>245.76418000000001</v>
      </c>
      <c r="C990" s="11">
        <v>229.03628</v>
      </c>
    </row>
    <row r="991" spans="1:3" x14ac:dyDescent="0.3">
      <c r="A991" s="7">
        <v>45549</v>
      </c>
      <c r="B991" s="11">
        <v>245.7841</v>
      </c>
      <c r="C991" s="11">
        <v>229.05586</v>
      </c>
    </row>
    <row r="992" spans="1:3" x14ac:dyDescent="0.3">
      <c r="A992" s="7">
        <v>45550</v>
      </c>
      <c r="B992" s="11">
        <v>245.80401000000001</v>
      </c>
      <c r="C992" s="11">
        <v>229.07543999999999</v>
      </c>
    </row>
    <row r="993" spans="1:3" x14ac:dyDescent="0.3">
      <c r="A993" s="7">
        <v>45551</v>
      </c>
      <c r="B993" s="11">
        <v>245.82392999999999</v>
      </c>
      <c r="C993" s="11">
        <v>229.09502000000001</v>
      </c>
    </row>
    <row r="994" spans="1:3" x14ac:dyDescent="0.3">
      <c r="A994" s="7">
        <v>45552</v>
      </c>
      <c r="B994" s="11">
        <v>245.84386000000001</v>
      </c>
      <c r="C994" s="11">
        <v>229.1146</v>
      </c>
    </row>
    <row r="995" spans="1:3" x14ac:dyDescent="0.3">
      <c r="A995" s="7">
        <v>45553</v>
      </c>
      <c r="B995" s="11">
        <v>245.86377999999999</v>
      </c>
      <c r="C995" s="11">
        <v>229.13418999999999</v>
      </c>
    </row>
    <row r="996" spans="1:3" x14ac:dyDescent="0.3">
      <c r="A996" s="7">
        <v>45554</v>
      </c>
      <c r="B996" s="11">
        <v>245.8372</v>
      </c>
      <c r="C996" s="11">
        <v>229.14497</v>
      </c>
    </row>
    <row r="997" spans="1:3" x14ac:dyDescent="0.3">
      <c r="A997" s="7">
        <v>45555</v>
      </c>
      <c r="B997" s="11">
        <v>245.85422</v>
      </c>
      <c r="C997" s="11">
        <v>229.17608000000001</v>
      </c>
    </row>
    <row r="998" spans="1:3" x14ac:dyDescent="0.3">
      <c r="A998" s="7">
        <v>45556</v>
      </c>
      <c r="B998" s="11">
        <v>245.87415999999999</v>
      </c>
      <c r="C998" s="11">
        <v>229.19566</v>
      </c>
    </row>
    <row r="999" spans="1:3" x14ac:dyDescent="0.3">
      <c r="A999" s="7">
        <v>45557</v>
      </c>
      <c r="B999" s="11">
        <v>245.89411999999999</v>
      </c>
      <c r="C999" s="11">
        <v>229.21522999999999</v>
      </c>
    </row>
    <row r="1000" spans="1:3" x14ac:dyDescent="0.3">
      <c r="A1000" s="7">
        <v>45558</v>
      </c>
      <c r="B1000" s="11">
        <v>245.84101999999999</v>
      </c>
      <c r="C1000" s="11">
        <v>229.21947</v>
      </c>
    </row>
    <row r="1001" spans="1:3" x14ac:dyDescent="0.3">
      <c r="A1001" s="7">
        <v>45559</v>
      </c>
      <c r="B1001" s="11">
        <v>245.87302</v>
      </c>
      <c r="C1001" s="11">
        <v>229.24857</v>
      </c>
    </row>
    <row r="1002" spans="1:3" x14ac:dyDescent="0.3">
      <c r="A1002" s="7">
        <v>45560</v>
      </c>
      <c r="B1002" s="11">
        <v>246.05280999999999</v>
      </c>
      <c r="C1002" s="11">
        <v>229.32731999999999</v>
      </c>
    </row>
    <row r="1003" spans="1:3" x14ac:dyDescent="0.3">
      <c r="A1003" s="7">
        <v>45561</v>
      </c>
      <c r="B1003" s="11">
        <v>246.07749000000001</v>
      </c>
      <c r="C1003" s="11">
        <v>229.35838000000001</v>
      </c>
    </row>
    <row r="1004" spans="1:3" x14ac:dyDescent="0.3">
      <c r="A1004" s="7">
        <v>45562</v>
      </c>
      <c r="B1004" s="11">
        <v>246.0504</v>
      </c>
      <c r="C1004" s="11">
        <v>229.35952</v>
      </c>
    </row>
    <row r="1005" spans="1:3" x14ac:dyDescent="0.3">
      <c r="A1005" s="7">
        <v>45563</v>
      </c>
      <c r="B1005" s="11">
        <v>246.07028</v>
      </c>
      <c r="C1005" s="11">
        <v>229.37904</v>
      </c>
    </row>
    <row r="1006" spans="1:3" x14ac:dyDescent="0.3">
      <c r="A1006" s="7">
        <v>45564</v>
      </c>
      <c r="B1006" s="11">
        <v>246.09016</v>
      </c>
      <c r="C1006" s="11">
        <v>229.39857000000001</v>
      </c>
    </row>
    <row r="1007" spans="1:3" x14ac:dyDescent="0.3">
      <c r="A1007" s="7">
        <v>45565</v>
      </c>
      <c r="B1007" s="11">
        <v>246.17264</v>
      </c>
      <c r="C1007" s="11">
        <v>229.44755000000001</v>
      </c>
    </row>
    <row r="1008" spans="1:3" x14ac:dyDescent="0.3">
      <c r="A1008" s="7">
        <v>45566</v>
      </c>
      <c r="B1008" s="11">
        <v>246.19244</v>
      </c>
      <c r="C1008" s="11">
        <v>229.47479999999999</v>
      </c>
    </row>
    <row r="1009" spans="1:3" x14ac:dyDescent="0.3">
      <c r="A1009" s="7">
        <v>45567</v>
      </c>
      <c r="B1009" s="11">
        <v>246.31166999999999</v>
      </c>
      <c r="C1009" s="11">
        <v>229.52237</v>
      </c>
    </row>
    <row r="1010" spans="1:3" x14ac:dyDescent="0.3">
      <c r="A1010" s="7">
        <v>45568</v>
      </c>
      <c r="B1010" s="11">
        <v>246.33138</v>
      </c>
      <c r="C1010" s="11">
        <v>229.54194000000001</v>
      </c>
    </row>
    <row r="1011" spans="1:3" x14ac:dyDescent="0.3">
      <c r="A1011" s="7">
        <v>45569</v>
      </c>
      <c r="B1011" s="11">
        <v>246.19569999999999</v>
      </c>
      <c r="C1011" s="11">
        <v>229.51567</v>
      </c>
    </row>
    <row r="1012" spans="1:3" x14ac:dyDescent="0.3">
      <c r="A1012" s="7">
        <v>45570</v>
      </c>
      <c r="B1012" s="11">
        <v>246.21557999999999</v>
      </c>
      <c r="C1012" s="11">
        <v>229.53531000000001</v>
      </c>
    </row>
    <row r="1013" spans="1:3" x14ac:dyDescent="0.3">
      <c r="A1013" s="7">
        <v>45571</v>
      </c>
      <c r="B1013" s="11">
        <v>246.23545999999999</v>
      </c>
      <c r="C1013" s="11">
        <v>229.55495999999999</v>
      </c>
    </row>
    <row r="1014" spans="1:3" x14ac:dyDescent="0.3">
      <c r="A1014" s="7">
        <v>45572</v>
      </c>
      <c r="B1014" s="11">
        <v>245.73192</v>
      </c>
      <c r="C1014" s="11">
        <v>229.37370000000001</v>
      </c>
    </row>
    <row r="1015" spans="1:3" x14ac:dyDescent="0.3">
      <c r="A1015" s="7">
        <v>45573</v>
      </c>
      <c r="B1015" s="11">
        <v>245.84907999999999</v>
      </c>
      <c r="C1015" s="11">
        <v>229.43993</v>
      </c>
    </row>
    <row r="1016" spans="1:3" x14ac:dyDescent="0.3">
      <c r="A1016" s="7">
        <v>45574</v>
      </c>
      <c r="B1016" s="11">
        <v>245.86945</v>
      </c>
      <c r="C1016" s="11">
        <v>229.45987</v>
      </c>
    </row>
    <row r="1017" spans="1:3" x14ac:dyDescent="0.3">
      <c r="A1017" s="7">
        <v>45575</v>
      </c>
      <c r="B1017" s="11">
        <v>245.80358000000001</v>
      </c>
      <c r="C1017" s="11">
        <v>229.44809000000001</v>
      </c>
    </row>
    <row r="1018" spans="1:3" x14ac:dyDescent="0.3">
      <c r="A1018" s="7">
        <v>45576</v>
      </c>
      <c r="B1018" s="11">
        <v>245.90028000000001</v>
      </c>
      <c r="C1018" s="11">
        <v>229.50528</v>
      </c>
    </row>
    <row r="1019" spans="1:3" x14ac:dyDescent="0.3">
      <c r="A1019" s="7">
        <v>45577</v>
      </c>
      <c r="B1019" s="11">
        <v>245.92062999999999</v>
      </c>
      <c r="C1019" s="11">
        <v>229.52518000000001</v>
      </c>
    </row>
    <row r="1020" spans="1:3" x14ac:dyDescent="0.3">
      <c r="A1020" s="7">
        <v>45578</v>
      </c>
      <c r="B1020" s="11">
        <v>245.94098</v>
      </c>
      <c r="C1020" s="11">
        <v>229.54507000000001</v>
      </c>
    </row>
    <row r="1021" spans="1:3" x14ac:dyDescent="0.3">
      <c r="A1021" s="7">
        <v>45579</v>
      </c>
      <c r="B1021" s="11">
        <v>246.00622999999999</v>
      </c>
      <c r="C1021" s="11">
        <v>229.58614</v>
      </c>
    </row>
    <row r="1022" spans="1:3" x14ac:dyDescent="0.3">
      <c r="A1022" s="7">
        <v>45580</v>
      </c>
      <c r="B1022" s="11">
        <v>246.1396</v>
      </c>
      <c r="C1022" s="11">
        <v>229.64336</v>
      </c>
    </row>
    <row r="1023" spans="1:3" x14ac:dyDescent="0.3">
      <c r="A1023" s="7">
        <v>45581</v>
      </c>
      <c r="B1023" s="11">
        <v>246.26972000000001</v>
      </c>
      <c r="C1023" s="11">
        <v>229.69377</v>
      </c>
    </row>
    <row r="1024" spans="1:3" x14ac:dyDescent="0.3">
      <c r="A1024" s="7">
        <v>45582</v>
      </c>
      <c r="B1024" s="11">
        <v>246.21047999999999</v>
      </c>
      <c r="C1024" s="11">
        <v>229.69479000000001</v>
      </c>
    </row>
    <row r="1025" spans="1:3" x14ac:dyDescent="0.3">
      <c r="A1025" s="7">
        <v>45583</v>
      </c>
      <c r="B1025" s="11">
        <v>246.15305000000001</v>
      </c>
      <c r="C1025" s="11">
        <v>229.68994000000001</v>
      </c>
    </row>
    <row r="1026" spans="1:3" x14ac:dyDescent="0.3">
      <c r="A1026" s="7">
        <v>45584</v>
      </c>
      <c r="B1026" s="11">
        <v>246.17330000000001</v>
      </c>
      <c r="C1026" s="11">
        <v>229.70974000000001</v>
      </c>
    </row>
    <row r="1027" spans="1:3" x14ac:dyDescent="0.3">
      <c r="A1027" s="7">
        <v>45585</v>
      </c>
      <c r="B1027" s="11">
        <v>246.19354999999999</v>
      </c>
      <c r="C1027" s="11">
        <v>229.72954999999999</v>
      </c>
    </row>
    <row r="1028" spans="1:3" x14ac:dyDescent="0.3">
      <c r="A1028" s="7">
        <v>45586</v>
      </c>
      <c r="B1028" s="11">
        <v>246.27434</v>
      </c>
      <c r="C1028" s="11">
        <v>229.78219000000001</v>
      </c>
    </row>
    <row r="1029" spans="1:3" x14ac:dyDescent="0.3">
      <c r="A1029" s="7">
        <v>45587</v>
      </c>
      <c r="B1029" s="11">
        <v>246.18019000000001</v>
      </c>
      <c r="C1029" s="11">
        <v>229.76727</v>
      </c>
    </row>
    <row r="1030" spans="1:3" x14ac:dyDescent="0.3">
      <c r="A1030" s="7">
        <v>45588</v>
      </c>
      <c r="B1030" s="11">
        <v>246.21386999999999</v>
      </c>
      <c r="C1030" s="11">
        <v>229.78501</v>
      </c>
    </row>
    <row r="1031" spans="1:3" x14ac:dyDescent="0.3">
      <c r="A1031" s="7">
        <v>45589</v>
      </c>
      <c r="B1031" s="11">
        <v>246.39574999999999</v>
      </c>
      <c r="C1031" s="11">
        <v>229.85642999999999</v>
      </c>
    </row>
    <row r="1032" spans="1:3" x14ac:dyDescent="0.3">
      <c r="A1032" s="7">
        <v>45590</v>
      </c>
      <c r="B1032" s="11">
        <v>246.44238999999999</v>
      </c>
      <c r="C1032" s="11">
        <v>229.87630999999999</v>
      </c>
    </row>
    <row r="1033" spans="1:3" x14ac:dyDescent="0.3">
      <c r="A1033" s="7">
        <v>45591</v>
      </c>
      <c r="B1033" s="11">
        <v>246.46249</v>
      </c>
      <c r="C1033" s="11">
        <v>229.89601999999999</v>
      </c>
    </row>
    <row r="1034" spans="1:3" x14ac:dyDescent="0.3">
      <c r="A1034" s="7">
        <v>45592</v>
      </c>
      <c r="B1034" s="11">
        <v>246.48259999999999</v>
      </c>
      <c r="C1034" s="11">
        <v>229.91573</v>
      </c>
    </row>
    <row r="1035" spans="1:3" x14ac:dyDescent="0.3">
      <c r="A1035" s="7">
        <v>45593</v>
      </c>
      <c r="B1035" s="11">
        <v>246.31835000000001</v>
      </c>
      <c r="C1035" s="11">
        <v>229.88099</v>
      </c>
    </row>
    <row r="1036" spans="1:3" x14ac:dyDescent="0.3">
      <c r="A1036" s="7">
        <v>45594</v>
      </c>
      <c r="B1036" s="11">
        <v>246.33944</v>
      </c>
      <c r="C1036" s="11">
        <v>229.89279999999999</v>
      </c>
    </row>
    <row r="1037" spans="1:3" x14ac:dyDescent="0.3">
      <c r="A1037" s="7">
        <v>45595</v>
      </c>
      <c r="B1037" s="11">
        <v>246.34396000000001</v>
      </c>
      <c r="C1037" s="11">
        <v>229.89913000000001</v>
      </c>
    </row>
    <row r="1038" spans="1:3" x14ac:dyDescent="0.3">
      <c r="A1038" s="7">
        <v>45596</v>
      </c>
      <c r="B1038" s="11">
        <v>246.37786</v>
      </c>
      <c r="C1038" s="11">
        <v>229.91908000000001</v>
      </c>
    </row>
    <row r="1039" spans="1:3" x14ac:dyDescent="0.3">
      <c r="A1039" s="7">
        <v>45597</v>
      </c>
      <c r="B1039" s="11">
        <v>246.37248</v>
      </c>
      <c r="C1039" s="11">
        <v>229.93002000000001</v>
      </c>
    </row>
    <row r="1040" spans="1:3" x14ac:dyDescent="0.3">
      <c r="A1040" s="7">
        <v>45598</v>
      </c>
      <c r="B1040" s="11">
        <v>246.39288999999999</v>
      </c>
      <c r="C1040" s="11">
        <v>229.94976</v>
      </c>
    </row>
    <row r="1041" spans="1:3" x14ac:dyDescent="0.3">
      <c r="A1041" s="7">
        <v>45599</v>
      </c>
      <c r="B1041" s="11">
        <v>246.41329999999999</v>
      </c>
      <c r="C1041" s="11">
        <v>229.96950000000001</v>
      </c>
    </row>
    <row r="1042" spans="1:3" x14ac:dyDescent="0.3">
      <c r="A1042" s="7">
        <v>45600</v>
      </c>
      <c r="B1042" s="11">
        <v>246.46009000000001</v>
      </c>
      <c r="C1042" s="11">
        <v>229.99118999999999</v>
      </c>
    </row>
    <row r="1043" spans="1:3" x14ac:dyDescent="0.3">
      <c r="A1043" s="7">
        <v>45601</v>
      </c>
      <c r="B1043" s="11">
        <v>246.54232999999999</v>
      </c>
      <c r="C1043" s="11">
        <v>230.0284</v>
      </c>
    </row>
    <row r="1044" spans="1:3" x14ac:dyDescent="0.3">
      <c r="A1044" s="7">
        <v>45602</v>
      </c>
      <c r="B1044" s="11">
        <v>246.40593999999999</v>
      </c>
      <c r="C1044" s="11">
        <v>229.99519000000001</v>
      </c>
    </row>
    <row r="1045" spans="1:3" x14ac:dyDescent="0.3">
      <c r="A1045" s="7">
        <v>45603</v>
      </c>
      <c r="B1045" s="11">
        <v>246.55623</v>
      </c>
      <c r="C1045" s="11">
        <v>230.0575</v>
      </c>
    </row>
    <row r="1046" spans="1:3" x14ac:dyDescent="0.3">
      <c r="A1046" s="7">
        <v>45604</v>
      </c>
      <c r="B1046" s="11">
        <v>246.72333</v>
      </c>
      <c r="C1046" s="11">
        <v>230.11895999999999</v>
      </c>
    </row>
    <row r="1047" spans="1:3" x14ac:dyDescent="0.3">
      <c r="A1047" s="7">
        <v>45605</v>
      </c>
      <c r="B1047" s="11">
        <v>246.74288000000001</v>
      </c>
      <c r="C1047" s="11">
        <v>230.13852</v>
      </c>
    </row>
    <row r="1048" spans="1:3" x14ac:dyDescent="0.3">
      <c r="A1048" s="7">
        <v>45606</v>
      </c>
      <c r="B1048" s="11">
        <v>246.76309000000001</v>
      </c>
      <c r="C1048" s="11">
        <v>230.15823</v>
      </c>
    </row>
    <row r="1049" spans="1:3" x14ac:dyDescent="0.3">
      <c r="A1049" s="7">
        <v>45607</v>
      </c>
      <c r="B1049" s="11">
        <v>246.72181</v>
      </c>
      <c r="C1049" s="11">
        <v>230.15603999999999</v>
      </c>
    </row>
    <row r="1050" spans="1:3" x14ac:dyDescent="0.3">
      <c r="A1050" s="7">
        <v>45608</v>
      </c>
      <c r="B1050" s="11">
        <v>246.74972</v>
      </c>
      <c r="C1050" s="11">
        <v>230.17384000000001</v>
      </c>
    </row>
    <row r="1051" spans="1:3" x14ac:dyDescent="0.3">
      <c r="A1051" s="7">
        <v>45609</v>
      </c>
      <c r="B1051" s="11">
        <v>246.60819000000001</v>
      </c>
      <c r="C1051" s="11">
        <v>230.14187000000001</v>
      </c>
    </row>
    <row r="1052" spans="1:3" x14ac:dyDescent="0.3">
      <c r="A1052" s="7">
        <v>45610</v>
      </c>
      <c r="B1052" s="11">
        <v>246.68423000000001</v>
      </c>
      <c r="C1052" s="11">
        <v>230.17676</v>
      </c>
    </row>
    <row r="1053" spans="1:3" x14ac:dyDescent="0.3">
      <c r="A1053" s="7">
        <v>45611</v>
      </c>
      <c r="B1053" s="11">
        <v>246.65672000000001</v>
      </c>
      <c r="C1053" s="11">
        <v>230.17873</v>
      </c>
    </row>
    <row r="1054" spans="1:3" x14ac:dyDescent="0.3">
      <c r="A1054" s="7">
        <v>45612</v>
      </c>
      <c r="B1054" s="11">
        <v>246.6772</v>
      </c>
      <c r="C1054" s="11">
        <v>230.19864000000001</v>
      </c>
    </row>
    <row r="1055" spans="1:3" x14ac:dyDescent="0.3">
      <c r="A1055" s="7">
        <v>45613</v>
      </c>
      <c r="B1055" s="11">
        <v>246.69768999999999</v>
      </c>
      <c r="C1055" s="11">
        <v>230.21854999999999</v>
      </c>
    </row>
    <row r="1056" spans="1:3" x14ac:dyDescent="0.3">
      <c r="A1056" s="7">
        <v>45614</v>
      </c>
      <c r="B1056" s="11">
        <v>246.80062000000001</v>
      </c>
      <c r="C1056" s="11">
        <v>230.26214999999999</v>
      </c>
    </row>
    <row r="1057" spans="1:3" x14ac:dyDescent="0.3">
      <c r="A1057" s="7">
        <v>45615</v>
      </c>
      <c r="B1057" s="11">
        <v>246.92374000000001</v>
      </c>
      <c r="C1057" s="11">
        <v>230.30884</v>
      </c>
    </row>
    <row r="1058" spans="1:3" x14ac:dyDescent="0.3">
      <c r="A1058" s="7">
        <v>45616</v>
      </c>
      <c r="B1058" s="11">
        <v>246.98853</v>
      </c>
      <c r="C1058" s="11">
        <v>230.33918</v>
      </c>
    </row>
    <row r="1059" spans="1:3" x14ac:dyDescent="0.3">
      <c r="A1059" s="7">
        <v>45617</v>
      </c>
      <c r="B1059" s="11">
        <v>247.155</v>
      </c>
      <c r="C1059" s="11">
        <v>230.40452999999999</v>
      </c>
    </row>
    <row r="1060" spans="1:3" x14ac:dyDescent="0.3">
      <c r="A1060" s="7">
        <v>45618</v>
      </c>
      <c r="B1060" s="11">
        <v>247.20876999999999</v>
      </c>
      <c r="C1060" s="11">
        <v>230.43338</v>
      </c>
    </row>
    <row r="1061" spans="1:3" x14ac:dyDescent="0.3">
      <c r="A1061" s="7">
        <v>45619</v>
      </c>
      <c r="B1061" s="11">
        <v>247.22881000000001</v>
      </c>
      <c r="C1061" s="11">
        <v>230.45314999999999</v>
      </c>
    </row>
    <row r="1062" spans="1:3" x14ac:dyDescent="0.3">
      <c r="A1062" s="7">
        <v>45620</v>
      </c>
      <c r="B1062" s="11">
        <v>247.24885</v>
      </c>
      <c r="C1062" s="11">
        <v>230.47291000000001</v>
      </c>
    </row>
    <row r="1063" spans="1:3" x14ac:dyDescent="0.3">
      <c r="A1063" s="7">
        <v>45621</v>
      </c>
      <c r="B1063" s="11">
        <v>247.43095</v>
      </c>
      <c r="C1063" s="11">
        <v>230.53403</v>
      </c>
    </row>
    <row r="1064" spans="1:3" x14ac:dyDescent="0.3">
      <c r="A1064" s="7">
        <v>45622</v>
      </c>
      <c r="B1064" s="11">
        <v>247.46007</v>
      </c>
      <c r="C1064" s="11">
        <v>230.55619999999999</v>
      </c>
    </row>
    <row r="1065" spans="1:3" x14ac:dyDescent="0.3">
      <c r="A1065" s="7">
        <v>45623</v>
      </c>
      <c r="B1065" s="11">
        <v>247.59235000000001</v>
      </c>
      <c r="C1065" s="11">
        <v>230.61439999999999</v>
      </c>
    </row>
    <row r="1066" spans="1:3" x14ac:dyDescent="0.3">
      <c r="A1066" s="7">
        <v>45624</v>
      </c>
      <c r="B1066" s="11">
        <v>248.03223</v>
      </c>
      <c r="C1066" s="11">
        <v>230.83413999999999</v>
      </c>
    </row>
    <row r="1067" spans="1:3" x14ac:dyDescent="0.3">
      <c r="A1067" s="7">
        <v>45625</v>
      </c>
      <c r="B1067" s="11">
        <v>248.19313</v>
      </c>
      <c r="C1067" s="11">
        <v>230.92868000000001</v>
      </c>
    </row>
    <row r="1068" spans="1:3" x14ac:dyDescent="0.3">
      <c r="A1068" s="7">
        <v>45626</v>
      </c>
      <c r="B1068" s="11">
        <v>248.21203</v>
      </c>
      <c r="C1068" s="11">
        <v>230.94757000000001</v>
      </c>
    </row>
    <row r="1069" spans="1:3" x14ac:dyDescent="0.3">
      <c r="A1069" s="7">
        <v>45627</v>
      </c>
      <c r="B1069" s="11">
        <v>248.23093</v>
      </c>
      <c r="C1069" s="11">
        <v>230.96646999999999</v>
      </c>
    </row>
    <row r="1070" spans="1:3" x14ac:dyDescent="0.3">
      <c r="A1070" s="7">
        <v>45628</v>
      </c>
      <c r="B1070" s="11">
        <v>248.44828000000001</v>
      </c>
      <c r="C1070" s="11">
        <v>231.05977999999999</v>
      </c>
    </row>
    <row r="1071" spans="1:3" x14ac:dyDescent="0.3">
      <c r="A1071" s="7">
        <v>45629</v>
      </c>
      <c r="B1071" s="11">
        <v>248.39938000000001</v>
      </c>
      <c r="C1071" s="11">
        <v>231.06204</v>
      </c>
    </row>
    <row r="1072" spans="1:3" x14ac:dyDescent="0.3">
      <c r="A1072" s="7">
        <v>45630</v>
      </c>
      <c r="B1072" s="11">
        <v>248.26985999999999</v>
      </c>
      <c r="C1072" s="11">
        <v>231.04282000000001</v>
      </c>
    </row>
    <row r="1073" spans="1:3" x14ac:dyDescent="0.3">
      <c r="A1073" s="7">
        <v>45631</v>
      </c>
      <c r="B1073" s="11">
        <v>248.37839</v>
      </c>
      <c r="C1073" s="11">
        <v>231.08582000000001</v>
      </c>
    </row>
    <row r="1074" spans="1:3" x14ac:dyDescent="0.3">
      <c r="A1074" s="7">
        <v>45632</v>
      </c>
      <c r="B1074" s="11">
        <v>248.31335999999999</v>
      </c>
      <c r="C1074" s="11">
        <v>231.07565</v>
      </c>
    </row>
    <row r="1075" spans="1:3" x14ac:dyDescent="0.3">
      <c r="A1075" s="7">
        <v>45633</v>
      </c>
      <c r="B1075" s="11">
        <v>248.33205000000001</v>
      </c>
      <c r="C1075" s="11">
        <v>231.09431000000001</v>
      </c>
    </row>
    <row r="1076" spans="1:3" x14ac:dyDescent="0.3">
      <c r="A1076" s="7">
        <v>45634</v>
      </c>
      <c r="B1076" s="11">
        <v>248.35076000000001</v>
      </c>
      <c r="C1076" s="11">
        <v>231.11296999999999</v>
      </c>
    </row>
    <row r="1077" spans="1:3" x14ac:dyDescent="0.3">
      <c r="A1077" s="7">
        <v>45635</v>
      </c>
      <c r="B1077" s="11">
        <v>248.54993999999999</v>
      </c>
      <c r="C1077" s="11">
        <v>231.18315000000001</v>
      </c>
    </row>
    <row r="1078" spans="1:3" x14ac:dyDescent="0.3">
      <c r="A1078" s="7">
        <v>45636</v>
      </c>
      <c r="B1078" s="11">
        <v>248.55176</v>
      </c>
      <c r="C1078" s="11">
        <v>231.19507999999999</v>
      </c>
    </row>
    <row r="1079" spans="1:3" x14ac:dyDescent="0.3">
      <c r="A1079" s="7">
        <v>45637</v>
      </c>
      <c r="B1079" s="11">
        <v>248.47891999999999</v>
      </c>
      <c r="C1079" s="11">
        <v>231.19109</v>
      </c>
    </row>
    <row r="1080" spans="1:3" x14ac:dyDescent="0.3">
      <c r="A1080" s="7">
        <v>45638</v>
      </c>
      <c r="B1080" s="11">
        <v>248.45563000000001</v>
      </c>
      <c r="C1080" s="11">
        <v>231.1986</v>
      </c>
    </row>
    <row r="1081" spans="1:3" x14ac:dyDescent="0.3">
      <c r="A1081" s="7">
        <v>45639</v>
      </c>
      <c r="B1081" s="11">
        <v>248.51769999999999</v>
      </c>
      <c r="C1081" s="11">
        <v>231.22595000000001</v>
      </c>
    </row>
    <row r="1082" spans="1:3" x14ac:dyDescent="0.3">
      <c r="A1082" s="7">
        <v>45640</v>
      </c>
      <c r="B1082" s="11">
        <v>248.53630999999999</v>
      </c>
      <c r="C1082" s="11">
        <v>231.24463</v>
      </c>
    </row>
    <row r="1083" spans="1:3" x14ac:dyDescent="0.3">
      <c r="A1083" s="7">
        <v>45641</v>
      </c>
      <c r="B1083" s="11">
        <v>248.55492000000001</v>
      </c>
      <c r="C1083" s="11">
        <v>231.26330999999999</v>
      </c>
    </row>
    <row r="1084" spans="1:3" x14ac:dyDescent="0.3">
      <c r="A1084" s="7">
        <v>45642</v>
      </c>
      <c r="B1084" s="11">
        <v>248.51676</v>
      </c>
      <c r="C1084" s="11">
        <v>231.26319000000001</v>
      </c>
    </row>
    <row r="1085" spans="1:3" x14ac:dyDescent="0.3">
      <c r="A1085" s="7">
        <v>45643</v>
      </c>
      <c r="B1085" s="11">
        <v>248.29221999999999</v>
      </c>
      <c r="C1085" s="11">
        <v>231.21546000000001</v>
      </c>
    </row>
    <row r="1086" spans="1:3" x14ac:dyDescent="0.3">
      <c r="A1086" s="7">
        <v>45644</v>
      </c>
      <c r="B1086" s="11">
        <v>248.59818000000001</v>
      </c>
      <c r="C1086" s="11">
        <v>231.32271</v>
      </c>
    </row>
    <row r="1087" spans="1:3" x14ac:dyDescent="0.3">
      <c r="A1087" s="7">
        <v>45645</v>
      </c>
      <c r="B1087" s="11">
        <v>248.37431000000001</v>
      </c>
      <c r="C1087" s="11">
        <v>231.27054999999999</v>
      </c>
    </row>
    <row r="1088" spans="1:3" x14ac:dyDescent="0.3">
      <c r="A1088" s="7">
        <v>45646</v>
      </c>
      <c r="B1088" s="11">
        <v>248.31219999999999</v>
      </c>
      <c r="C1088" s="11">
        <v>231.26202000000001</v>
      </c>
    </row>
    <row r="1089" spans="1:3" x14ac:dyDescent="0.3">
      <c r="A1089" s="7">
        <v>45647</v>
      </c>
      <c r="B1089" s="11">
        <v>248.33121</v>
      </c>
      <c r="C1089" s="11">
        <v>231.28092000000001</v>
      </c>
    </row>
    <row r="1090" spans="1:3" x14ac:dyDescent="0.3">
      <c r="A1090" s="7">
        <v>45648</v>
      </c>
      <c r="B1090" s="11">
        <v>248.35022000000001</v>
      </c>
      <c r="C1090" s="11">
        <v>231.29982000000001</v>
      </c>
    </row>
    <row r="1091" spans="1:3" x14ac:dyDescent="0.3">
      <c r="A1091" s="7">
        <v>45649</v>
      </c>
      <c r="B1091" s="11">
        <v>248.36439999999999</v>
      </c>
      <c r="C1091" s="11">
        <v>231.31433999999999</v>
      </c>
    </row>
    <row r="1092" spans="1:3" x14ac:dyDescent="0.3">
      <c r="A1092" s="7">
        <v>45650</v>
      </c>
      <c r="B1092" s="11">
        <v>248.23883000000001</v>
      </c>
      <c r="C1092" s="11">
        <v>231.28587999999999</v>
      </c>
    </row>
    <row r="1093" spans="1:3" x14ac:dyDescent="0.3">
      <c r="A1093" s="7">
        <v>45651</v>
      </c>
      <c r="B1093" s="11">
        <v>248.25803999999999</v>
      </c>
      <c r="C1093" s="11">
        <v>231.3049</v>
      </c>
    </row>
    <row r="1094" spans="1:3" x14ac:dyDescent="0.3">
      <c r="A1094" s="7">
        <v>45652</v>
      </c>
      <c r="B1094" s="11">
        <v>248.17525000000001</v>
      </c>
      <c r="C1094" s="11">
        <v>231.29109</v>
      </c>
    </row>
    <row r="1095" spans="1:3" x14ac:dyDescent="0.3">
      <c r="A1095" s="7">
        <v>45653</v>
      </c>
      <c r="B1095" s="11">
        <v>248.34356</v>
      </c>
      <c r="C1095" s="11">
        <v>231.36641</v>
      </c>
    </row>
    <row r="1096" spans="1:3" x14ac:dyDescent="0.3">
      <c r="A1096" s="7">
        <v>45654</v>
      </c>
      <c r="B1096" s="11">
        <v>248.36272</v>
      </c>
      <c r="C1096" s="11">
        <v>231.38538</v>
      </c>
    </row>
    <row r="1097" spans="1:3" x14ac:dyDescent="0.3">
      <c r="A1097" s="7">
        <v>45655</v>
      </c>
      <c r="B1097" s="11">
        <v>248.38189</v>
      </c>
      <c r="C1097" s="11">
        <v>231.40436</v>
      </c>
    </row>
    <row r="1098" spans="1:3" x14ac:dyDescent="0.3">
      <c r="A1098" s="7">
        <v>45656</v>
      </c>
      <c r="B1098" s="11">
        <v>248.44060999999999</v>
      </c>
      <c r="C1098" s="11">
        <v>231.42878999999999</v>
      </c>
    </row>
    <row r="1099" spans="1:3" x14ac:dyDescent="0.3">
      <c r="A1099" s="7">
        <v>45657</v>
      </c>
      <c r="B1099" s="11">
        <v>248.45950999999999</v>
      </c>
      <c r="C1099" s="11">
        <v>231.44726</v>
      </c>
    </row>
    <row r="1100" spans="1:3" x14ac:dyDescent="0.3">
      <c r="A1100" s="7">
        <v>45658</v>
      </c>
      <c r="B1100" s="11">
        <v>248.47864000000001</v>
      </c>
      <c r="C1100" s="11">
        <v>231.46626000000001</v>
      </c>
    </row>
    <row r="1101" spans="1:3" x14ac:dyDescent="0.3">
      <c r="A1101" s="7">
        <v>45659</v>
      </c>
      <c r="B1101" s="11">
        <v>248.89592999999999</v>
      </c>
      <c r="C1101" s="11">
        <v>231.64867000000001</v>
      </c>
    </row>
    <row r="1102" spans="1:3" x14ac:dyDescent="0.3">
      <c r="A1102" s="7">
        <v>45660</v>
      </c>
      <c r="B1102" s="11">
        <v>249.03749999999999</v>
      </c>
      <c r="C1102" s="11">
        <v>231.73521</v>
      </c>
    </row>
    <row r="1103" spans="1:3" x14ac:dyDescent="0.3">
      <c r="A1103" s="7">
        <v>45661</v>
      </c>
      <c r="B1103" s="11">
        <v>249.05533</v>
      </c>
      <c r="C1103" s="11">
        <v>231.75299000000001</v>
      </c>
    </row>
    <row r="1104" spans="1:3" x14ac:dyDescent="0.3">
      <c r="A1104" s="7">
        <v>45662</v>
      </c>
      <c r="B1104" s="11">
        <v>249.07317</v>
      </c>
      <c r="C1104" s="11">
        <v>231.77077</v>
      </c>
    </row>
    <row r="1105" spans="1:3" x14ac:dyDescent="0.3">
      <c r="A1105" s="7">
        <v>45663</v>
      </c>
      <c r="B1105" s="11">
        <v>248.92807999999999</v>
      </c>
      <c r="C1105" s="11">
        <v>231.76464000000001</v>
      </c>
    </row>
    <row r="1106" spans="1:3" x14ac:dyDescent="0.3">
      <c r="A1106" s="7">
        <v>45664</v>
      </c>
      <c r="B1106" s="11">
        <v>249.05165</v>
      </c>
      <c r="C1106" s="11">
        <v>231.83358999999999</v>
      </c>
    </row>
    <row r="1107" spans="1:3" x14ac:dyDescent="0.3">
      <c r="A1107" s="7">
        <v>45665</v>
      </c>
      <c r="B1107" s="11">
        <v>249.18823</v>
      </c>
      <c r="C1107" s="11">
        <v>231.90598</v>
      </c>
    </row>
    <row r="1108" spans="1:3" x14ac:dyDescent="0.3">
      <c r="A1108" s="7">
        <v>45666</v>
      </c>
      <c r="B1108" s="11">
        <v>249.29809</v>
      </c>
      <c r="C1108" s="11">
        <v>231.97067000000001</v>
      </c>
    </row>
    <row r="1109" spans="1:3" x14ac:dyDescent="0.3">
      <c r="A1109" s="7">
        <v>45667</v>
      </c>
      <c r="B1109" s="11">
        <v>249.15478999999999</v>
      </c>
      <c r="C1109" s="11">
        <v>231.95858999999999</v>
      </c>
    </row>
    <row r="1110" spans="1:3" x14ac:dyDescent="0.3">
      <c r="A1110" s="7">
        <v>45668</v>
      </c>
      <c r="B1110" s="11">
        <v>249.17260999999999</v>
      </c>
      <c r="C1110" s="11">
        <v>231.97603000000001</v>
      </c>
    </row>
    <row r="1111" spans="1:3" x14ac:dyDescent="0.3">
      <c r="A1111" s="7">
        <v>45669</v>
      </c>
      <c r="B1111" s="11">
        <v>249.19042999999999</v>
      </c>
      <c r="C1111" s="11">
        <v>231.99347</v>
      </c>
    </row>
    <row r="1112" spans="1:3" x14ac:dyDescent="0.3">
      <c r="A1112" s="7">
        <v>45670</v>
      </c>
      <c r="B1112" s="11">
        <v>248.93128999999999</v>
      </c>
      <c r="C1112" s="11">
        <v>231.94166999999999</v>
      </c>
    </row>
    <row r="1113" spans="1:3" x14ac:dyDescent="0.3">
      <c r="A1113" s="7">
        <v>45671</v>
      </c>
      <c r="B1113" s="11">
        <v>249.02625</v>
      </c>
      <c r="C1113" s="11">
        <v>231.98877999999999</v>
      </c>
    </row>
    <row r="1114" spans="1:3" x14ac:dyDescent="0.3">
      <c r="A1114" s="7">
        <v>45672</v>
      </c>
      <c r="B1114" s="11">
        <v>248.93382</v>
      </c>
      <c r="C1114" s="11">
        <v>231.97748999999999</v>
      </c>
    </row>
    <row r="1115" spans="1:3" x14ac:dyDescent="0.3">
      <c r="A1115" s="7">
        <v>45673</v>
      </c>
      <c r="B1115" s="11">
        <v>249.15991</v>
      </c>
      <c r="C1115" s="11">
        <v>232.06443999999999</v>
      </c>
    </row>
    <row r="1116" spans="1:3" x14ac:dyDescent="0.3">
      <c r="A1116" s="7">
        <v>45674</v>
      </c>
      <c r="B1116" s="11">
        <v>249.31191999999999</v>
      </c>
      <c r="C1116" s="11">
        <v>232.12172000000001</v>
      </c>
    </row>
    <row r="1117" spans="1:3" x14ac:dyDescent="0.3">
      <c r="A1117" s="7">
        <v>45675</v>
      </c>
      <c r="B1117" s="11">
        <v>249.32973000000001</v>
      </c>
      <c r="C1117" s="11">
        <v>232.13901000000001</v>
      </c>
    </row>
    <row r="1118" spans="1:3" x14ac:dyDescent="0.3">
      <c r="A1118" s="7">
        <v>45676</v>
      </c>
      <c r="B1118" s="11">
        <v>249.34753000000001</v>
      </c>
      <c r="C1118" s="11">
        <v>232.15630999999999</v>
      </c>
    </row>
    <row r="1119" spans="1:3" x14ac:dyDescent="0.3">
      <c r="A1119" s="7">
        <v>45677</v>
      </c>
      <c r="B1119" s="11">
        <v>249.25991999999999</v>
      </c>
      <c r="C1119" s="11">
        <v>232.13866999999999</v>
      </c>
    </row>
    <row r="1120" spans="1:3" x14ac:dyDescent="0.3">
      <c r="A1120" s="7">
        <v>45678</v>
      </c>
      <c r="B1120" s="11">
        <v>249.43011999999999</v>
      </c>
      <c r="C1120" s="11">
        <v>232.18591000000001</v>
      </c>
    </row>
    <row r="1121" spans="1:3" x14ac:dyDescent="0.3">
      <c r="A1121" s="7">
        <v>45679</v>
      </c>
      <c r="B1121" s="11">
        <v>249.41121999999999</v>
      </c>
      <c r="C1121" s="11">
        <v>232.18444</v>
      </c>
    </row>
    <row r="1122" spans="1:3" x14ac:dyDescent="0.3">
      <c r="A1122" s="7">
        <v>45680</v>
      </c>
      <c r="B1122" s="11">
        <v>249.43210999999999</v>
      </c>
      <c r="C1122" s="11">
        <v>232.20913999999999</v>
      </c>
    </row>
    <row r="1123" spans="1:3" x14ac:dyDescent="0.3">
      <c r="A1123" s="7">
        <v>45681</v>
      </c>
      <c r="B1123" s="11">
        <v>249.45974000000001</v>
      </c>
      <c r="C1123" s="11">
        <v>232.24197000000001</v>
      </c>
    </row>
    <row r="1124" spans="1:3" x14ac:dyDescent="0.3">
      <c r="A1124" s="7">
        <v>45682</v>
      </c>
      <c r="B1124" s="11">
        <v>249.47757999999999</v>
      </c>
      <c r="C1124" s="11">
        <v>232.25932</v>
      </c>
    </row>
    <row r="1125" spans="1:3" x14ac:dyDescent="0.3">
      <c r="A1125" s="7">
        <v>45683</v>
      </c>
      <c r="B1125" s="11">
        <v>249.49542</v>
      </c>
      <c r="C1125" s="11">
        <v>232.27667</v>
      </c>
    </row>
    <row r="1126" spans="1:3" x14ac:dyDescent="0.3">
      <c r="A1126" s="7">
        <v>45684</v>
      </c>
      <c r="B1126" s="11">
        <v>249.51326</v>
      </c>
      <c r="C1126" s="11">
        <v>232.29401999999999</v>
      </c>
    </row>
    <row r="1127" spans="1:3" x14ac:dyDescent="0.3">
      <c r="A1127" s="7">
        <v>45685</v>
      </c>
      <c r="B1127" s="11">
        <v>249.53110000000001</v>
      </c>
      <c r="C1127" s="11">
        <v>232.31138000000001</v>
      </c>
    </row>
    <row r="1128" spans="1:3" x14ac:dyDescent="0.3">
      <c r="A1128" s="7">
        <v>45686</v>
      </c>
      <c r="B1128" s="11">
        <v>249.54894999999999</v>
      </c>
      <c r="C1128" s="11">
        <v>232.32874000000001</v>
      </c>
    </row>
    <row r="1129" spans="1:3" x14ac:dyDescent="0.3">
      <c r="A1129" s="7">
        <v>45687</v>
      </c>
      <c r="B1129" s="11">
        <v>249.5668</v>
      </c>
      <c r="C1129" s="11">
        <v>232.34611000000001</v>
      </c>
    </row>
    <row r="1130" spans="1:3" x14ac:dyDescent="0.3">
      <c r="A1130" s="7">
        <v>45688</v>
      </c>
      <c r="B1130" s="11">
        <v>249.5616</v>
      </c>
      <c r="C1130" s="11">
        <v>232.35622000000001</v>
      </c>
    </row>
    <row r="1131" spans="1:3" x14ac:dyDescent="0.3">
      <c r="A1131" s="7">
        <v>45689</v>
      </c>
      <c r="B1131" s="11">
        <v>249.57947999999999</v>
      </c>
      <c r="C1131" s="11">
        <v>232.37361999999999</v>
      </c>
    </row>
    <row r="1132" spans="1:3" x14ac:dyDescent="0.3">
      <c r="A1132" s="7">
        <v>45690</v>
      </c>
      <c r="B1132" s="11">
        <v>249.59735000000001</v>
      </c>
      <c r="C1132" s="11">
        <v>232.39103</v>
      </c>
    </row>
    <row r="1133" spans="1:3" x14ac:dyDescent="0.3">
      <c r="A1133" s="7">
        <v>45691</v>
      </c>
      <c r="B1133" s="11">
        <v>249.64515</v>
      </c>
      <c r="C1133" s="11">
        <v>232.4153</v>
      </c>
    </row>
    <row r="1134" spans="1:3" x14ac:dyDescent="0.3">
      <c r="A1134" s="7">
        <v>45692</v>
      </c>
      <c r="B1134" s="11">
        <v>249.59876</v>
      </c>
      <c r="C1134" s="11">
        <v>232.41797</v>
      </c>
    </row>
    <row r="1135" spans="1:3" x14ac:dyDescent="0.3">
      <c r="A1135" s="7">
        <v>45693</v>
      </c>
      <c r="B1135" s="11">
        <v>249.64331999999999</v>
      </c>
      <c r="C1135" s="11">
        <v>232.44702000000001</v>
      </c>
    </row>
    <row r="1136" spans="1:3" x14ac:dyDescent="0.3">
      <c r="A1136" s="7">
        <v>45694</v>
      </c>
      <c r="B1136" s="11">
        <v>249.62273999999999</v>
      </c>
      <c r="C1136" s="11">
        <v>232.45379</v>
      </c>
    </row>
    <row r="1137" spans="1:3" x14ac:dyDescent="0.3">
      <c r="A1137" s="7">
        <v>45695</v>
      </c>
      <c r="B1137" s="11">
        <v>249.47278</v>
      </c>
      <c r="C1137" s="11">
        <v>232.42422999999999</v>
      </c>
    </row>
    <row r="1138" spans="1:3" x14ac:dyDescent="0.3">
      <c r="A1138" s="7">
        <v>45696</v>
      </c>
      <c r="B1138" s="11">
        <v>249.49089000000001</v>
      </c>
      <c r="C1138" s="11">
        <v>232.44163</v>
      </c>
    </row>
    <row r="1139" spans="1:3" x14ac:dyDescent="0.3">
      <c r="A1139" s="7">
        <v>45697</v>
      </c>
      <c r="B1139" s="11">
        <v>249.50899000000001</v>
      </c>
      <c r="C1139" s="11">
        <v>232.45903000000001</v>
      </c>
    </row>
    <row r="1140" spans="1:3" x14ac:dyDescent="0.3">
      <c r="A1140" s="7">
        <v>45698</v>
      </c>
      <c r="B1140" s="11">
        <v>249.58243999999999</v>
      </c>
      <c r="C1140" s="11">
        <v>232.50078999999999</v>
      </c>
    </row>
    <row r="1141" spans="1:3" x14ac:dyDescent="0.3">
      <c r="A1141" s="7">
        <v>45699</v>
      </c>
      <c r="B1141" s="11">
        <v>249.57225</v>
      </c>
      <c r="C1141" s="11">
        <v>232.51603</v>
      </c>
    </row>
    <row r="1142" spans="1:3" x14ac:dyDescent="0.3">
      <c r="A1142" s="7">
        <v>45700</v>
      </c>
      <c r="B1142" s="11">
        <v>249.54727</v>
      </c>
      <c r="C1142" s="11">
        <v>232.51872</v>
      </c>
    </row>
    <row r="1143" spans="1:3" x14ac:dyDescent="0.3">
      <c r="A1143" s="7">
        <v>45701</v>
      </c>
      <c r="B1143" s="11">
        <v>249.63291000000001</v>
      </c>
      <c r="C1143" s="11">
        <v>232.56352000000001</v>
      </c>
    </row>
    <row r="1144" spans="1:3" x14ac:dyDescent="0.3">
      <c r="A1144" s="7">
        <v>45702</v>
      </c>
      <c r="B1144" s="11">
        <v>249.71061</v>
      </c>
      <c r="C1144" s="11">
        <v>232.60093000000001</v>
      </c>
    </row>
    <row r="1145" spans="1:3" x14ac:dyDescent="0.3">
      <c r="A1145" s="7">
        <v>45703</v>
      </c>
      <c r="B1145" s="11">
        <v>249.72863000000001</v>
      </c>
      <c r="C1145" s="11">
        <v>232.61827</v>
      </c>
    </row>
    <row r="1146" spans="1:3" x14ac:dyDescent="0.3">
      <c r="A1146" s="7">
        <v>45704</v>
      </c>
      <c r="B1146" s="11">
        <v>249.74664000000001</v>
      </c>
      <c r="C1146" s="11">
        <v>232.63561000000001</v>
      </c>
    </row>
    <row r="1147" spans="1:3" x14ac:dyDescent="0.3">
      <c r="A1147" s="7">
        <v>45705</v>
      </c>
      <c r="B1147" s="11">
        <v>249.71888000000001</v>
      </c>
      <c r="C1147" s="11">
        <v>232.63772</v>
      </c>
    </row>
    <row r="1148" spans="1:3" x14ac:dyDescent="0.3">
      <c r="A1148" s="7">
        <v>45706</v>
      </c>
      <c r="B1148" s="11">
        <v>249.66238999999999</v>
      </c>
      <c r="C1148" s="11">
        <v>232.63124999999999</v>
      </c>
    </row>
    <row r="1149" spans="1:3" x14ac:dyDescent="0.3">
      <c r="A1149" s="7">
        <v>45707</v>
      </c>
      <c r="B1149" s="11">
        <v>249.72325000000001</v>
      </c>
      <c r="C1149" s="11">
        <v>232.66055</v>
      </c>
    </row>
    <row r="1150" spans="1:3" x14ac:dyDescent="0.3">
      <c r="A1150" s="7">
        <v>45708</v>
      </c>
      <c r="B1150" s="11">
        <v>249.75773000000001</v>
      </c>
      <c r="C1150" s="11">
        <v>232.68314000000001</v>
      </c>
    </row>
    <row r="1151" spans="1:3" x14ac:dyDescent="0.3">
      <c r="A1151" s="7">
        <v>45709</v>
      </c>
      <c r="B1151" s="11">
        <v>249.83457000000001</v>
      </c>
      <c r="C1151" s="11">
        <v>232.72407000000001</v>
      </c>
    </row>
    <row r="1152" spans="1:3" x14ac:dyDescent="0.3">
      <c r="A1152" s="7">
        <v>45710</v>
      </c>
      <c r="B1152" s="11">
        <v>249.85262</v>
      </c>
      <c r="C1152" s="11">
        <v>232.74143000000001</v>
      </c>
    </row>
    <row r="1153" spans="1:3" x14ac:dyDescent="0.3">
      <c r="A1153" s="7">
        <v>45711</v>
      </c>
      <c r="B1153" s="11">
        <v>249.87065999999999</v>
      </c>
      <c r="C1153" s="11">
        <v>232.75879</v>
      </c>
    </row>
    <row r="1154" spans="1:3" x14ac:dyDescent="0.3">
      <c r="A1154" s="7">
        <v>45712</v>
      </c>
      <c r="B1154" s="11">
        <v>249.91998000000001</v>
      </c>
      <c r="C1154" s="11">
        <v>232.78766999999999</v>
      </c>
    </row>
    <row r="1155" spans="1:3" x14ac:dyDescent="0.3">
      <c r="A1155" s="7">
        <v>45713</v>
      </c>
      <c r="B1155" s="11">
        <v>249.99476999999999</v>
      </c>
      <c r="C1155" s="11">
        <v>232.83812</v>
      </c>
    </row>
    <row r="1156" spans="1:3" x14ac:dyDescent="0.3">
      <c r="A1156" s="7">
        <v>45714</v>
      </c>
      <c r="B1156" s="11">
        <v>250.04876999999999</v>
      </c>
      <c r="C1156" s="11">
        <v>232.85866999999999</v>
      </c>
    </row>
    <row r="1157" spans="1:3" x14ac:dyDescent="0.3">
      <c r="A1157" s="7">
        <v>45715</v>
      </c>
      <c r="B1157" s="11">
        <v>250.05999</v>
      </c>
      <c r="C1157" s="11">
        <v>232.86509000000001</v>
      </c>
    </row>
    <row r="1158" spans="1:3" x14ac:dyDescent="0.3">
      <c r="A1158" s="7">
        <v>45716</v>
      </c>
      <c r="B1158" s="11">
        <v>250.18482</v>
      </c>
      <c r="C1158" s="11">
        <v>232.90884</v>
      </c>
    </row>
    <row r="1159" spans="1:3" x14ac:dyDescent="0.3">
      <c r="A1159" s="7">
        <v>45717</v>
      </c>
      <c r="B1159" s="11">
        <v>250.20264</v>
      </c>
      <c r="C1159" s="11">
        <v>232.92599999999999</v>
      </c>
    </row>
    <row r="1160" spans="1:3" x14ac:dyDescent="0.3">
      <c r="A1160" s="7">
        <v>45718</v>
      </c>
      <c r="B1160" s="11">
        <v>250.22047000000001</v>
      </c>
      <c r="C1160" s="11">
        <v>232.94316000000001</v>
      </c>
    </row>
    <row r="1161" spans="1:3" x14ac:dyDescent="0.3">
      <c r="A1161" s="7">
        <v>45719</v>
      </c>
      <c r="B1161" s="11">
        <v>250.23829000000001</v>
      </c>
      <c r="C1161" s="11">
        <v>232.96028000000001</v>
      </c>
    </row>
    <row r="1162" spans="1:3" x14ac:dyDescent="0.3">
      <c r="A1162" s="7">
        <v>45720</v>
      </c>
      <c r="B1162" s="11">
        <v>250.28859</v>
      </c>
      <c r="C1162" s="11">
        <v>232.99038999999999</v>
      </c>
    </row>
    <row r="1163" spans="1:3" x14ac:dyDescent="0.3">
      <c r="A1163" s="7">
        <v>45721</v>
      </c>
      <c r="B1163" s="11">
        <v>250.16701</v>
      </c>
      <c r="C1163" s="11">
        <v>232.97066000000001</v>
      </c>
    </row>
    <row r="1164" spans="1:3" x14ac:dyDescent="0.3">
      <c r="A1164" s="7">
        <v>45722</v>
      </c>
      <c r="B1164" s="11">
        <v>250.11833999999999</v>
      </c>
      <c r="C1164" s="11">
        <v>232.96836999999999</v>
      </c>
    </row>
    <row r="1165" spans="1:3" x14ac:dyDescent="0.3">
      <c r="A1165" s="7">
        <v>45723</v>
      </c>
      <c r="B1165" s="11">
        <v>250.25582</v>
      </c>
      <c r="C1165" s="11">
        <v>233.02493999999999</v>
      </c>
    </row>
    <row r="1166" spans="1:3" x14ac:dyDescent="0.3">
      <c r="A1166" s="7">
        <v>45724</v>
      </c>
      <c r="B1166" s="11">
        <v>250.27381</v>
      </c>
      <c r="C1166" s="11">
        <v>233.04195999999999</v>
      </c>
    </row>
    <row r="1167" spans="1:3" x14ac:dyDescent="0.3">
      <c r="A1167" s="7">
        <v>45725</v>
      </c>
      <c r="B1167" s="11">
        <v>250.29179999999999</v>
      </c>
      <c r="C1167" s="11">
        <v>233.05896999999999</v>
      </c>
    </row>
    <row r="1168" spans="1:3" x14ac:dyDescent="0.3">
      <c r="A1168" s="7">
        <v>45726</v>
      </c>
      <c r="B1168" s="11">
        <v>250.17992000000001</v>
      </c>
      <c r="C1168" s="11">
        <v>233.02831</v>
      </c>
    </row>
    <row r="1169" spans="1:3" x14ac:dyDescent="0.3">
      <c r="A1169" s="7">
        <v>45727</v>
      </c>
      <c r="B1169" s="11">
        <v>250.33739</v>
      </c>
      <c r="C1169" s="11">
        <v>233.09714</v>
      </c>
    </row>
    <row r="1170" spans="1:3" x14ac:dyDescent="0.3">
      <c r="A1170" s="7">
        <v>45728</v>
      </c>
      <c r="B1170" s="11">
        <v>250.39167</v>
      </c>
      <c r="C1170" s="11">
        <v>233.12432999999999</v>
      </c>
    </row>
    <row r="1171" spans="1:3" x14ac:dyDescent="0.3">
      <c r="A1171" s="7">
        <v>45729</v>
      </c>
      <c r="B1171" s="11">
        <v>250.34413000000001</v>
      </c>
      <c r="C1171" s="11">
        <v>233.11963</v>
      </c>
    </row>
    <row r="1172" spans="1:3" x14ac:dyDescent="0.3">
      <c r="A1172" s="7">
        <v>45730</v>
      </c>
      <c r="B1172" s="11">
        <v>250.30168</v>
      </c>
      <c r="C1172" s="11">
        <v>233.11331000000001</v>
      </c>
    </row>
    <row r="1173" spans="1:3" x14ac:dyDescent="0.3">
      <c r="A1173" s="7">
        <v>45731</v>
      </c>
      <c r="B1173" s="11">
        <v>250.31962999999999</v>
      </c>
      <c r="C1173" s="11">
        <v>233.13032999999999</v>
      </c>
    </row>
    <row r="1174" spans="1:3" x14ac:dyDescent="0.3">
      <c r="A1174" s="7">
        <v>45732</v>
      </c>
      <c r="B1174" s="11">
        <v>250.33757</v>
      </c>
      <c r="C1174" s="11">
        <v>233.14734000000001</v>
      </c>
    </row>
    <row r="1175" spans="1:3" x14ac:dyDescent="0.3">
      <c r="A1175" s="7">
        <v>45733</v>
      </c>
      <c r="B1175" s="11">
        <v>250.33134000000001</v>
      </c>
      <c r="C1175" s="11">
        <v>233.15938</v>
      </c>
    </row>
    <row r="1176" spans="1:3" x14ac:dyDescent="0.3">
      <c r="A1176" s="7">
        <v>45734</v>
      </c>
      <c r="B1176" s="11">
        <v>250.35025999999999</v>
      </c>
      <c r="C1176" s="11">
        <v>233.17769999999999</v>
      </c>
    </row>
    <row r="1177" spans="1:3" x14ac:dyDescent="0.3">
      <c r="A1177" s="7">
        <v>45735</v>
      </c>
      <c r="B1177" s="11">
        <v>250.31129000000001</v>
      </c>
      <c r="C1177" s="11">
        <v>233.17519999999999</v>
      </c>
    </row>
    <row r="1178" spans="1:3" x14ac:dyDescent="0.3">
      <c r="A1178" s="7">
        <v>45736</v>
      </c>
      <c r="B1178" s="11">
        <v>250.38609</v>
      </c>
      <c r="C1178" s="11">
        <v>233.20747</v>
      </c>
    </row>
    <row r="1179" spans="1:3" x14ac:dyDescent="0.3">
      <c r="A1179" s="7">
        <v>45737</v>
      </c>
      <c r="B1179" s="11">
        <v>250.40513999999999</v>
      </c>
      <c r="C1179" s="11">
        <v>233.22054</v>
      </c>
    </row>
    <row r="1180" spans="1:3" x14ac:dyDescent="0.3">
      <c r="A1180" s="7">
        <v>45738</v>
      </c>
      <c r="B1180" s="11">
        <v>250.42310000000001</v>
      </c>
      <c r="C1180" s="11">
        <v>233.23756</v>
      </c>
    </row>
    <row r="1181" spans="1:3" x14ac:dyDescent="0.3">
      <c r="A1181" s="7">
        <v>45739</v>
      </c>
      <c r="B1181" s="11">
        <v>250.44107</v>
      </c>
      <c r="C1181" s="11">
        <v>233.25459000000001</v>
      </c>
    </row>
    <row r="1182" spans="1:3" x14ac:dyDescent="0.3">
      <c r="A1182" s="7">
        <v>45740</v>
      </c>
      <c r="B1182" s="11">
        <v>250.41716</v>
      </c>
      <c r="C1182" s="11">
        <v>233.25514999999999</v>
      </c>
    </row>
    <row r="1183" spans="1:3" x14ac:dyDescent="0.3">
      <c r="A1183" s="7">
        <v>45741</v>
      </c>
      <c r="B1183" s="11">
        <v>250.39926</v>
      </c>
      <c r="C1183" s="11">
        <v>233.26678999999999</v>
      </c>
    </row>
    <row r="1184" spans="1:3" x14ac:dyDescent="0.3">
      <c r="A1184" s="7">
        <v>45742</v>
      </c>
      <c r="B1184" s="11">
        <v>250.36973</v>
      </c>
      <c r="C1184" s="11">
        <v>233.27251000000001</v>
      </c>
    </row>
    <row r="1185" spans="1:3" x14ac:dyDescent="0.3">
      <c r="A1185" s="7">
        <v>45743</v>
      </c>
      <c r="B1185" s="11">
        <v>250.39473000000001</v>
      </c>
      <c r="C1185" s="11">
        <v>233.29257000000001</v>
      </c>
    </row>
    <row r="1186" spans="1:3" x14ac:dyDescent="0.3">
      <c r="A1186" s="7">
        <v>45744</v>
      </c>
      <c r="B1186" s="11">
        <v>250.4401</v>
      </c>
      <c r="C1186" s="11">
        <v>233.31886</v>
      </c>
    </row>
    <row r="1187" spans="1:3" x14ac:dyDescent="0.3">
      <c r="A1187" s="7">
        <v>45745</v>
      </c>
      <c r="B1187" s="11">
        <v>250.45817</v>
      </c>
      <c r="C1187" s="11">
        <v>233.33591000000001</v>
      </c>
    </row>
    <row r="1188" spans="1:3" x14ac:dyDescent="0.3">
      <c r="A1188" s="7">
        <v>45746</v>
      </c>
      <c r="B1188" s="11">
        <v>250.47624999999999</v>
      </c>
      <c r="C1188" s="11">
        <v>233.35297</v>
      </c>
    </row>
    <row r="1189" spans="1:3" x14ac:dyDescent="0.3">
      <c r="A1189" s="7">
        <v>45747</v>
      </c>
      <c r="B1189" s="11">
        <v>250.7346</v>
      </c>
      <c r="C1189" s="11">
        <v>233.45418000000001</v>
      </c>
    </row>
    <row r="1190" spans="1:3" x14ac:dyDescent="0.3">
      <c r="A1190" s="7">
        <v>45748</v>
      </c>
      <c r="B1190" s="11">
        <v>250.68615</v>
      </c>
      <c r="C1190" s="11">
        <v>233.44891999999999</v>
      </c>
    </row>
    <row r="1191" spans="1:3" x14ac:dyDescent="0.3">
      <c r="A1191" s="7">
        <v>45749</v>
      </c>
      <c r="B1191" s="11">
        <v>250.73473000000001</v>
      </c>
      <c r="C1191" s="11">
        <v>233.47785999999999</v>
      </c>
    </row>
    <row r="1192" spans="1:3" x14ac:dyDescent="0.3">
      <c r="A1192" s="7">
        <v>45750</v>
      </c>
      <c r="B1192" s="11">
        <v>250.92165</v>
      </c>
      <c r="C1192" s="11">
        <v>233.57776000000001</v>
      </c>
    </row>
    <row r="1193" spans="1:3" x14ac:dyDescent="0.3">
      <c r="A1193" s="7">
        <v>45751</v>
      </c>
      <c r="B1193" s="11">
        <v>251.26948999999999</v>
      </c>
      <c r="C1193" s="11">
        <v>233.75523999999999</v>
      </c>
    </row>
    <row r="1194" spans="1:3" x14ac:dyDescent="0.3">
      <c r="A1194" s="7">
        <v>45752</v>
      </c>
      <c r="B1194" s="11">
        <v>251.28729999999999</v>
      </c>
      <c r="C1194" s="11">
        <v>233.77154999999999</v>
      </c>
    </row>
    <row r="1195" spans="1:3" x14ac:dyDescent="0.3">
      <c r="A1195" s="7">
        <v>45753</v>
      </c>
      <c r="B1195" s="11">
        <v>251.30495999999999</v>
      </c>
      <c r="C1195" s="11">
        <v>233.78784999999999</v>
      </c>
    </row>
    <row r="1196" spans="1:3" x14ac:dyDescent="0.3">
      <c r="A1196" s="7">
        <v>45754</v>
      </c>
      <c r="B1196" s="11">
        <v>251.53360000000001</v>
      </c>
      <c r="C1196" s="11">
        <v>233.89433</v>
      </c>
    </row>
    <row r="1197" spans="1:3" x14ac:dyDescent="0.3">
      <c r="A1197" s="7">
        <v>45755</v>
      </c>
      <c r="B1197" s="11">
        <v>251.50857999999999</v>
      </c>
      <c r="C1197" s="11">
        <v>233.89525</v>
      </c>
    </row>
    <row r="1198" spans="1:3" x14ac:dyDescent="0.3">
      <c r="A1198" s="7">
        <v>45756</v>
      </c>
      <c r="B1198" s="11">
        <v>251.48319000000001</v>
      </c>
      <c r="C1198" s="11">
        <v>233.89938000000001</v>
      </c>
    </row>
    <row r="1199" spans="1:3" x14ac:dyDescent="0.3">
      <c r="A1199" s="7">
        <v>45757</v>
      </c>
      <c r="B1199" s="11">
        <v>251.47066000000001</v>
      </c>
      <c r="C1199" s="11">
        <v>233.89778000000001</v>
      </c>
    </row>
    <row r="1200" spans="1:3" x14ac:dyDescent="0.3">
      <c r="A1200" s="7">
        <v>45758</v>
      </c>
      <c r="B1200" s="11">
        <v>251.61464000000001</v>
      </c>
      <c r="C1200" s="11">
        <v>233.96960000000001</v>
      </c>
    </row>
    <row r="1201" spans="1:3" x14ac:dyDescent="0.3">
      <c r="A1201" s="7">
        <v>45759</v>
      </c>
      <c r="B1201" s="11">
        <v>251.63200000000001</v>
      </c>
      <c r="C1201" s="11">
        <v>233.98571000000001</v>
      </c>
    </row>
    <row r="1202" spans="1:3" x14ac:dyDescent="0.3">
      <c r="A1202" s="7">
        <v>45760</v>
      </c>
      <c r="B1202" s="11">
        <v>251.64949999999999</v>
      </c>
      <c r="C1202" s="11">
        <v>234.00182000000001</v>
      </c>
    </row>
    <row r="1203" spans="1:3" x14ac:dyDescent="0.3">
      <c r="A1203" s="7">
        <v>45761</v>
      </c>
      <c r="B1203" s="11">
        <v>251.6412</v>
      </c>
      <c r="C1203" s="11">
        <v>234.01428000000001</v>
      </c>
    </row>
    <row r="1204" spans="1:3" x14ac:dyDescent="0.3">
      <c r="A1204" s="7">
        <v>45762</v>
      </c>
      <c r="B1204" s="11">
        <v>251.71406999999999</v>
      </c>
      <c r="C1204" s="11">
        <v>234.05251000000001</v>
      </c>
    </row>
    <row r="1205" spans="1:3" x14ac:dyDescent="0.3">
      <c r="A1205" s="7">
        <v>45763</v>
      </c>
      <c r="B1205" s="11">
        <v>251.95005</v>
      </c>
      <c r="C1205" s="11">
        <v>234.15654000000001</v>
      </c>
    </row>
    <row r="1206" spans="1:3" x14ac:dyDescent="0.3">
      <c r="A1206" s="7">
        <v>45764</v>
      </c>
      <c r="B1206" s="11">
        <v>251.81402</v>
      </c>
      <c r="C1206" s="11">
        <v>234.10355000000001</v>
      </c>
    </row>
    <row r="1207" spans="1:3" x14ac:dyDescent="0.3">
      <c r="A1207" s="7">
        <v>45765</v>
      </c>
      <c r="B1207" s="11">
        <v>251.94328999999999</v>
      </c>
      <c r="C1207" s="11">
        <v>234.1636</v>
      </c>
    </row>
    <row r="1208" spans="1:3" x14ac:dyDescent="0.3">
      <c r="A1208" s="7">
        <v>45766</v>
      </c>
      <c r="B1208" s="11">
        <v>251.9605</v>
      </c>
      <c r="C1208" s="11">
        <v>234.17948000000001</v>
      </c>
    </row>
    <row r="1209" spans="1:3" x14ac:dyDescent="0.3">
      <c r="A1209" s="7">
        <v>45767</v>
      </c>
      <c r="B1209" s="11">
        <v>251.97756999999999</v>
      </c>
      <c r="C1209" s="11">
        <v>234.19534999999999</v>
      </c>
    </row>
    <row r="1210" spans="1:3" x14ac:dyDescent="0.3">
      <c r="A1210" s="7">
        <v>45768</v>
      </c>
      <c r="B1210" s="11">
        <v>252.10298</v>
      </c>
      <c r="C1210" s="11">
        <v>234.24624</v>
      </c>
    </row>
    <row r="1211" spans="1:3" x14ac:dyDescent="0.3">
      <c r="A1211" s="7">
        <v>45769</v>
      </c>
      <c r="B1211" s="11">
        <v>252.08994000000001</v>
      </c>
      <c r="C1211" s="11">
        <v>234.25572</v>
      </c>
    </row>
    <row r="1212" spans="1:3" x14ac:dyDescent="0.3">
      <c r="A1212" s="7">
        <v>45770</v>
      </c>
      <c r="B1212" s="11">
        <v>252.09924000000001</v>
      </c>
      <c r="C1212" s="11">
        <v>234.26371</v>
      </c>
    </row>
    <row r="1213" spans="1:3" x14ac:dyDescent="0.3">
      <c r="A1213" s="7">
        <v>45771</v>
      </c>
      <c r="B1213" s="11">
        <v>252.08554000000001</v>
      </c>
      <c r="C1213" s="11">
        <v>234.27466000000001</v>
      </c>
    </row>
    <row r="1214" spans="1:3" x14ac:dyDescent="0.3">
      <c r="A1214" s="7">
        <v>45772</v>
      </c>
      <c r="B1214" s="11">
        <v>252.24632</v>
      </c>
      <c r="C1214" s="11">
        <v>234.33860000000001</v>
      </c>
    </row>
    <row r="1215" spans="1:3" x14ac:dyDescent="0.3">
      <c r="A1215" s="7">
        <v>45773</v>
      </c>
      <c r="B1215" s="11">
        <v>252.26319000000001</v>
      </c>
      <c r="C1215" s="11">
        <v>234.35432</v>
      </c>
    </row>
    <row r="1216" spans="1:3" x14ac:dyDescent="0.3">
      <c r="A1216" s="7">
        <v>45774</v>
      </c>
      <c r="B1216" s="11">
        <v>252.28005999999999</v>
      </c>
      <c r="C1216" s="11">
        <v>234.37004999999999</v>
      </c>
    </row>
    <row r="1217" spans="1:3" x14ac:dyDescent="0.3">
      <c r="A1217" s="7">
        <v>45775</v>
      </c>
      <c r="B1217" s="11">
        <v>252.27015</v>
      </c>
      <c r="C1217" s="11">
        <v>234.38251</v>
      </c>
    </row>
    <row r="1218" spans="1:3" x14ac:dyDescent="0.3">
      <c r="A1218" s="7">
        <v>45776</v>
      </c>
      <c r="B1218" s="11">
        <v>252.28578999999999</v>
      </c>
      <c r="C1218" s="11">
        <v>234.40203</v>
      </c>
    </row>
    <row r="1219" spans="1:3" x14ac:dyDescent="0.3">
      <c r="A1219" s="7">
        <v>45777</v>
      </c>
      <c r="B1219" s="11">
        <v>252.46</v>
      </c>
      <c r="C1219" s="11">
        <v>234.46970999999999</v>
      </c>
    </row>
    <row r="1220" spans="1:3" x14ac:dyDescent="0.3">
      <c r="A1220" s="7">
        <v>45778</v>
      </c>
      <c r="B1220" s="11">
        <v>252.47602000000001</v>
      </c>
      <c r="C1220" s="11">
        <v>234.48531</v>
      </c>
    </row>
    <row r="1221" spans="1:3" x14ac:dyDescent="0.3">
      <c r="A1221" s="7">
        <v>45779</v>
      </c>
      <c r="B1221" s="11">
        <v>252.45029</v>
      </c>
      <c r="C1221" s="11">
        <v>234.49432999999999</v>
      </c>
    </row>
    <row r="1222" spans="1:3" x14ac:dyDescent="0.3">
      <c r="A1222" s="7">
        <v>45780</v>
      </c>
      <c r="B1222" s="11">
        <v>252.46625</v>
      </c>
      <c r="C1222" s="11">
        <v>234.50969000000001</v>
      </c>
    </row>
    <row r="1223" spans="1:3" x14ac:dyDescent="0.3">
      <c r="A1223" s="7">
        <v>45781</v>
      </c>
      <c r="B1223" s="11">
        <v>252.48232999999999</v>
      </c>
      <c r="C1223" s="11">
        <v>234.52506</v>
      </c>
    </row>
    <row r="1224" spans="1:3" x14ac:dyDescent="0.3">
      <c r="A1224" s="7">
        <v>45782</v>
      </c>
      <c r="B1224" s="11">
        <v>252.49841000000001</v>
      </c>
      <c r="C1224" s="11">
        <v>234.54042000000001</v>
      </c>
    </row>
    <row r="1225" spans="1:3" x14ac:dyDescent="0.3">
      <c r="A1225" s="7">
        <v>45783</v>
      </c>
      <c r="B1225" s="11">
        <v>252.5145</v>
      </c>
      <c r="C1225" s="11">
        <v>234.55579</v>
      </c>
    </row>
    <row r="1226" spans="1:3" x14ac:dyDescent="0.3">
      <c r="A1226" s="7">
        <v>45784</v>
      </c>
      <c r="B1226" s="11">
        <v>252.64788999999999</v>
      </c>
      <c r="C1226" s="11">
        <v>234.61958000000001</v>
      </c>
    </row>
    <row r="1227" spans="1:3" x14ac:dyDescent="0.3">
      <c r="A1227" s="7">
        <v>45785</v>
      </c>
      <c r="B1227" s="11">
        <v>252.58305999999999</v>
      </c>
      <c r="C1227" s="11">
        <v>234.60824</v>
      </c>
    </row>
    <row r="1228" spans="1:3" x14ac:dyDescent="0.3">
      <c r="A1228" s="7">
        <v>45786</v>
      </c>
      <c r="B1228" s="11">
        <v>252.44387</v>
      </c>
      <c r="C1228" s="11">
        <v>234.57232999999999</v>
      </c>
    </row>
    <row r="1229" spans="1:3" x14ac:dyDescent="0.3">
      <c r="A1229" s="7">
        <v>45787</v>
      </c>
      <c r="B1229" s="11">
        <v>252.4599</v>
      </c>
      <c r="C1229" s="11">
        <v>234.58769000000001</v>
      </c>
    </row>
    <row r="1230" spans="1:3" x14ac:dyDescent="0.3">
      <c r="A1230" s="7">
        <v>45788</v>
      </c>
      <c r="B1230" s="11">
        <v>252.47606999999999</v>
      </c>
      <c r="C1230" s="11">
        <v>234.60305</v>
      </c>
    </row>
    <row r="1231" spans="1:3" x14ac:dyDescent="0.3">
      <c r="A1231" s="7">
        <v>45789</v>
      </c>
      <c r="B1231" s="11">
        <v>252.50457</v>
      </c>
      <c r="C1231" s="11">
        <v>234.62795</v>
      </c>
    </row>
    <row r="1232" spans="1:3" x14ac:dyDescent="0.3">
      <c r="A1232" s="7">
        <v>45790</v>
      </c>
      <c r="B1232" s="11">
        <v>252.37290999999999</v>
      </c>
      <c r="C1232" s="11">
        <v>234.59780000000001</v>
      </c>
    </row>
    <row r="1233" spans="1:3" x14ac:dyDescent="0.3">
      <c r="A1233" s="7">
        <v>45791</v>
      </c>
      <c r="B1233" s="11">
        <v>252.47497999999999</v>
      </c>
      <c r="C1233" s="11">
        <v>234.64573999999999</v>
      </c>
    </row>
    <row r="1234" spans="1:3" x14ac:dyDescent="0.3">
      <c r="A1234" s="7">
        <v>45792</v>
      </c>
      <c r="B1234" s="11">
        <v>252.49871999999999</v>
      </c>
      <c r="C1234" s="11">
        <v>234.66857999999999</v>
      </c>
    </row>
    <row r="1235" spans="1:3" x14ac:dyDescent="0.3">
      <c r="A1235" s="7">
        <v>45793</v>
      </c>
      <c r="B1235" s="11">
        <v>252.65683000000001</v>
      </c>
      <c r="C1235" s="11">
        <v>234.73474999999999</v>
      </c>
    </row>
    <row r="1236" spans="1:3" x14ac:dyDescent="0.3">
      <c r="A1236" s="7">
        <v>45794</v>
      </c>
      <c r="B1236" s="11">
        <v>252.67268999999999</v>
      </c>
      <c r="C1236" s="11">
        <v>234.74995000000001</v>
      </c>
    </row>
    <row r="1237" spans="1:3" x14ac:dyDescent="0.3">
      <c r="A1237" s="7">
        <v>45795</v>
      </c>
      <c r="B1237" s="11">
        <v>252.68868000000001</v>
      </c>
      <c r="C1237" s="11">
        <v>234.76514</v>
      </c>
    </row>
    <row r="1238" spans="1:3" x14ac:dyDescent="0.3">
      <c r="A1238" s="7">
        <v>45796</v>
      </c>
      <c r="B1238" s="11">
        <v>252.54213999999999</v>
      </c>
      <c r="C1238" s="11">
        <v>234.73531</v>
      </c>
    </row>
    <row r="1239" spans="1:3" x14ac:dyDescent="0.3">
      <c r="A1239" s="7">
        <v>45797</v>
      </c>
      <c r="B1239" s="11">
        <v>252.65996999999999</v>
      </c>
      <c r="C1239" s="11">
        <v>234.78491</v>
      </c>
    </row>
    <row r="1240" spans="1:3" x14ac:dyDescent="0.3">
      <c r="A1240" s="7">
        <v>45798</v>
      </c>
      <c r="B1240" s="11">
        <v>252.65015</v>
      </c>
      <c r="C1240" s="11">
        <v>234.79656</v>
      </c>
    </row>
    <row r="1241" spans="1:3" x14ac:dyDescent="0.3">
      <c r="A1241" s="7">
        <v>45799</v>
      </c>
      <c r="B1241" s="11">
        <v>252.74245999999999</v>
      </c>
      <c r="C1241" s="11">
        <v>234.83944</v>
      </c>
    </row>
    <row r="1242" spans="1:3" x14ac:dyDescent="0.3">
      <c r="A1242" s="7">
        <v>45800</v>
      </c>
      <c r="B1242" s="11">
        <v>252.74126000000001</v>
      </c>
      <c r="C1242" s="11">
        <v>234.84969000000001</v>
      </c>
    </row>
    <row r="1243" spans="1:3" x14ac:dyDescent="0.3">
      <c r="A1243" s="7">
        <v>45801</v>
      </c>
      <c r="B1243" s="11">
        <v>252.75711999999999</v>
      </c>
      <c r="C1243" s="11">
        <v>234.86483999999999</v>
      </c>
    </row>
    <row r="1244" spans="1:3" x14ac:dyDescent="0.3">
      <c r="A1244" s="7">
        <v>45802</v>
      </c>
      <c r="B1244" s="11">
        <v>252.77311</v>
      </c>
      <c r="C1244" s="11">
        <v>234.87998999999999</v>
      </c>
    </row>
    <row r="1245" spans="1:3" x14ac:dyDescent="0.3">
      <c r="A1245" s="7">
        <v>45803</v>
      </c>
      <c r="B1245" s="11">
        <v>252.75325000000001</v>
      </c>
      <c r="C1245" s="11">
        <v>234.8879</v>
      </c>
    </row>
    <row r="1246" spans="1:3" x14ac:dyDescent="0.3">
      <c r="A1246" s="7">
        <v>45804</v>
      </c>
      <c r="B1246" s="11">
        <v>252.82517000000001</v>
      </c>
      <c r="C1246" s="11">
        <v>234.91874000000001</v>
      </c>
    </row>
    <row r="1247" spans="1:3" x14ac:dyDescent="0.3">
      <c r="A1247" s="7">
        <v>45805</v>
      </c>
      <c r="B1247" s="11">
        <v>252.91766000000001</v>
      </c>
      <c r="C1247" s="11">
        <v>234.95874000000001</v>
      </c>
    </row>
    <row r="1248" spans="1:3" x14ac:dyDescent="0.3">
      <c r="A1248" s="7">
        <v>45806</v>
      </c>
      <c r="B1248" s="11">
        <v>252.84168</v>
      </c>
      <c r="C1248" s="11">
        <v>234.95468</v>
      </c>
    </row>
    <row r="1249" spans="1:3" x14ac:dyDescent="0.3">
      <c r="A1249" s="7">
        <v>45807</v>
      </c>
      <c r="B1249" s="11">
        <v>252.86545000000001</v>
      </c>
      <c r="C1249" s="11">
        <v>234.97402</v>
      </c>
    </row>
    <row r="1250" spans="1:3" x14ac:dyDescent="0.3">
      <c r="A1250" s="7">
        <v>45808</v>
      </c>
      <c r="B1250" s="11">
        <v>252.88126</v>
      </c>
      <c r="C1250" s="11">
        <v>234.98902000000001</v>
      </c>
    </row>
    <row r="1251" spans="1:3" x14ac:dyDescent="0.3">
      <c r="A1251" s="7">
        <v>45809</v>
      </c>
      <c r="B1251" s="11">
        <v>252.89666</v>
      </c>
      <c r="C1251" s="11">
        <v>235.00400999999999</v>
      </c>
    </row>
    <row r="1252" spans="1:3" x14ac:dyDescent="0.3">
      <c r="A1252" s="7">
        <v>45810</v>
      </c>
      <c r="B1252" s="11">
        <v>252.90407999999999</v>
      </c>
      <c r="C1252" s="11">
        <v>235.02166</v>
      </c>
    </row>
    <row r="1253" spans="1:3" x14ac:dyDescent="0.3">
      <c r="A1253" s="7">
        <v>45811</v>
      </c>
      <c r="B1253" s="11">
        <v>252.91890000000001</v>
      </c>
      <c r="C1253" s="11">
        <v>235.03653</v>
      </c>
    </row>
    <row r="1254" spans="1:3" x14ac:dyDescent="0.3">
      <c r="A1254" s="7">
        <v>45812</v>
      </c>
      <c r="B1254" s="11">
        <v>252.65373</v>
      </c>
      <c r="C1254" s="11">
        <v>234.97425999999999</v>
      </c>
    </row>
    <row r="1255" spans="1:3" x14ac:dyDescent="0.3">
      <c r="A1255" s="7">
        <v>45813</v>
      </c>
      <c r="B1255" s="11">
        <v>252.70171999999999</v>
      </c>
      <c r="C1255" s="11">
        <v>235.00622000000001</v>
      </c>
    </row>
    <row r="1256" spans="1:3" x14ac:dyDescent="0.3">
      <c r="A1256" s="7">
        <v>45814</v>
      </c>
      <c r="B1256" s="11">
        <v>252.71682000000001</v>
      </c>
      <c r="C1256" s="11">
        <v>235.02117000000001</v>
      </c>
    </row>
    <row r="1257" spans="1:3" x14ac:dyDescent="0.3">
      <c r="A1257" s="7">
        <v>45815</v>
      </c>
      <c r="B1257" s="11">
        <v>252.73192</v>
      </c>
      <c r="C1257" s="11">
        <v>235.03613000000001</v>
      </c>
    </row>
    <row r="1258" spans="1:3" x14ac:dyDescent="0.3">
      <c r="A1258" s="7">
        <v>45816</v>
      </c>
      <c r="B1258" s="11">
        <v>252.74703</v>
      </c>
      <c r="C1258" s="11">
        <v>235.05108000000001</v>
      </c>
    </row>
    <row r="1259" spans="1:3" x14ac:dyDescent="0.3">
      <c r="A1259" s="7">
        <v>45817</v>
      </c>
      <c r="B1259" s="11">
        <v>252.84477999999999</v>
      </c>
      <c r="C1259" s="11">
        <v>235.09208000000001</v>
      </c>
    </row>
    <row r="1260" spans="1:3" x14ac:dyDescent="0.3">
      <c r="A1260" s="7">
        <v>45818</v>
      </c>
      <c r="B1260" s="11">
        <v>252.80705</v>
      </c>
      <c r="C1260" s="11">
        <v>235.09316000000001</v>
      </c>
    </row>
    <row r="1261" spans="1:3" x14ac:dyDescent="0.3">
      <c r="A1261" s="7">
        <v>45819</v>
      </c>
      <c r="B1261" s="11">
        <v>252.74552</v>
      </c>
      <c r="C1261" s="11">
        <v>235.08723000000001</v>
      </c>
    </row>
    <row r="1262" spans="1:3" x14ac:dyDescent="0.3">
      <c r="A1262" s="7">
        <v>45820</v>
      </c>
      <c r="B1262" s="11">
        <v>252.75842</v>
      </c>
      <c r="C1262" s="11">
        <v>235.09822</v>
      </c>
    </row>
    <row r="1263" spans="1:3" x14ac:dyDescent="0.3">
      <c r="A1263" s="7">
        <v>45821</v>
      </c>
      <c r="B1263" s="11">
        <v>252.62464</v>
      </c>
      <c r="C1263" s="11">
        <v>235.05967000000001</v>
      </c>
    </row>
    <row r="1264" spans="1:3" x14ac:dyDescent="0.3">
      <c r="A1264" s="7">
        <v>45822</v>
      </c>
      <c r="B1264" s="11">
        <v>252.63998000000001</v>
      </c>
      <c r="C1264" s="11">
        <v>235.07468</v>
      </c>
    </row>
    <row r="1265" spans="1:3" x14ac:dyDescent="0.3">
      <c r="A1265" s="7">
        <v>45823</v>
      </c>
      <c r="B1265" s="11">
        <v>252.65531999999999</v>
      </c>
      <c r="C1265" s="11">
        <v>235.08967999999999</v>
      </c>
    </row>
    <row r="1266" spans="1:3" x14ac:dyDescent="0.3">
      <c r="A1266" s="7">
        <v>45824</v>
      </c>
      <c r="B1266" s="11">
        <v>252.60670999999999</v>
      </c>
      <c r="C1266" s="11">
        <v>235.08156</v>
      </c>
    </row>
    <row r="1267" spans="1:3" x14ac:dyDescent="0.3">
      <c r="A1267" s="7">
        <v>45825</v>
      </c>
      <c r="B1267" s="11">
        <v>252.77357000000001</v>
      </c>
      <c r="C1267" s="11">
        <v>235.14111</v>
      </c>
    </row>
    <row r="1268" spans="1:3" x14ac:dyDescent="0.3">
      <c r="A1268" s="7">
        <v>45826</v>
      </c>
      <c r="B1268" s="11">
        <v>252.68392</v>
      </c>
      <c r="C1268" s="11">
        <v>235.12661</v>
      </c>
    </row>
    <row r="1269" spans="1:3" x14ac:dyDescent="0.3">
      <c r="A1269" s="7">
        <v>45827</v>
      </c>
      <c r="B1269" s="11">
        <v>252.67552000000001</v>
      </c>
      <c r="C1269" s="11">
        <v>235.13032999999999</v>
      </c>
    </row>
    <row r="1270" spans="1:3" x14ac:dyDescent="0.3">
      <c r="A1270" s="7">
        <v>45828</v>
      </c>
      <c r="B1270" s="11">
        <v>252.76759000000001</v>
      </c>
      <c r="C1270" s="11">
        <v>235.17587</v>
      </c>
    </row>
    <row r="1271" spans="1:3" x14ac:dyDescent="0.3">
      <c r="A1271" s="7">
        <v>45829</v>
      </c>
      <c r="B1271" s="11">
        <v>252.78290000000001</v>
      </c>
      <c r="C1271" s="11">
        <v>235.19086999999999</v>
      </c>
    </row>
    <row r="1272" spans="1:3" x14ac:dyDescent="0.3">
      <c r="A1272" s="7">
        <v>45830</v>
      </c>
      <c r="B1272" s="11">
        <v>252.79821000000001</v>
      </c>
      <c r="C1272" s="11">
        <v>235.20586</v>
      </c>
    </row>
    <row r="1273" spans="1:3" x14ac:dyDescent="0.3">
      <c r="A1273" s="7">
        <v>45831</v>
      </c>
      <c r="B1273" s="11">
        <v>252.68508</v>
      </c>
      <c r="C1273" s="11">
        <v>235.17058</v>
      </c>
    </row>
    <row r="1274" spans="1:3" x14ac:dyDescent="0.3">
      <c r="A1274" s="7">
        <v>45832</v>
      </c>
      <c r="B1274" s="11">
        <v>252.83761999999999</v>
      </c>
      <c r="C1274" s="11">
        <v>235.22911999999999</v>
      </c>
    </row>
    <row r="1275" spans="1:3" x14ac:dyDescent="0.3">
      <c r="A1275" s="7">
        <v>45833</v>
      </c>
      <c r="B1275" s="11">
        <v>252.83802</v>
      </c>
      <c r="C1275" s="11">
        <v>235.24157</v>
      </c>
    </row>
    <row r="1276" spans="1:3" x14ac:dyDescent="0.3">
      <c r="A1276" s="7">
        <v>45834</v>
      </c>
      <c r="B1276" s="11">
        <v>252.93311</v>
      </c>
      <c r="C1276" s="11">
        <v>235.27624</v>
      </c>
    </row>
    <row r="1277" spans="1:3" x14ac:dyDescent="0.3">
      <c r="A1277" s="7">
        <v>45835</v>
      </c>
      <c r="B1277" s="11">
        <v>252.96010999999999</v>
      </c>
      <c r="C1277" s="11">
        <v>235.29662999999999</v>
      </c>
    </row>
    <row r="1278" spans="1:3" x14ac:dyDescent="0.3">
      <c r="A1278" s="7">
        <v>45836</v>
      </c>
      <c r="B1278" s="11">
        <v>252.97533999999999</v>
      </c>
      <c r="C1278" s="11">
        <v>235.3116</v>
      </c>
    </row>
    <row r="1279" spans="1:3" x14ac:dyDescent="0.3">
      <c r="A1279" s="7">
        <v>45837</v>
      </c>
      <c r="B1279" s="11">
        <v>252.99056999999999</v>
      </c>
      <c r="C1279" s="11">
        <v>235.32657</v>
      </c>
    </row>
    <row r="1280" spans="1:3" x14ac:dyDescent="0.3">
      <c r="A1280" s="7">
        <v>45838</v>
      </c>
      <c r="B1280" s="11">
        <v>253.02755999999999</v>
      </c>
      <c r="C1280" s="11">
        <v>235.36062000000001</v>
      </c>
    </row>
    <row r="1281" spans="1:3" x14ac:dyDescent="0.3">
      <c r="A1281" s="7">
        <v>45839</v>
      </c>
      <c r="B1281" s="11">
        <v>253.08971</v>
      </c>
      <c r="C1281" s="11">
        <v>235.39579000000001</v>
      </c>
    </row>
    <row r="1282" spans="1:3" x14ac:dyDescent="0.3">
      <c r="A1282" s="7">
        <v>45840</v>
      </c>
      <c r="B1282" s="11">
        <v>252.97429</v>
      </c>
      <c r="C1282" s="11">
        <v>235.38088999999999</v>
      </c>
    </row>
    <row r="1283" spans="1:3" x14ac:dyDescent="0.3">
      <c r="A1283" s="7">
        <v>45841</v>
      </c>
      <c r="B1283" s="11">
        <v>253.11954</v>
      </c>
      <c r="C1283" s="11">
        <v>235.44032999999999</v>
      </c>
    </row>
    <row r="1284" spans="1:3" x14ac:dyDescent="0.3">
      <c r="A1284" s="7">
        <v>45842</v>
      </c>
      <c r="B1284" s="11">
        <v>253.03987000000001</v>
      </c>
      <c r="C1284" s="11">
        <v>235.43002999999999</v>
      </c>
    </row>
    <row r="1285" spans="1:3" x14ac:dyDescent="0.3">
      <c r="A1285" s="7">
        <v>45843</v>
      </c>
      <c r="B1285" s="11">
        <v>253.05418</v>
      </c>
      <c r="C1285" s="11">
        <v>235.44479000000001</v>
      </c>
    </row>
    <row r="1286" spans="1:3" x14ac:dyDescent="0.3">
      <c r="A1286" s="7">
        <v>45844</v>
      </c>
      <c r="B1286" s="11">
        <v>253.06863000000001</v>
      </c>
      <c r="C1286" s="11">
        <v>235.45955000000001</v>
      </c>
    </row>
    <row r="1287" spans="1:3" x14ac:dyDescent="0.3">
      <c r="A1287" s="7">
        <v>45845</v>
      </c>
      <c r="B1287" s="11">
        <v>253.07035999999999</v>
      </c>
      <c r="C1287" s="11">
        <v>235.47781000000001</v>
      </c>
    </row>
    <row r="1288" spans="1:3" x14ac:dyDescent="0.3">
      <c r="A1288" s="7">
        <v>45846</v>
      </c>
      <c r="B1288" s="11">
        <v>253.11524</v>
      </c>
      <c r="C1288" s="11">
        <v>235.50570999999999</v>
      </c>
    </row>
    <row r="1289" spans="1:3" x14ac:dyDescent="0.3">
      <c r="A1289" s="7">
        <v>45847</v>
      </c>
      <c r="B1289" s="11">
        <v>253.15871000000001</v>
      </c>
      <c r="C1289" s="11">
        <v>235.53828999999999</v>
      </c>
    </row>
    <row r="1290" spans="1:3" x14ac:dyDescent="0.3">
      <c r="A1290" s="7">
        <v>45848</v>
      </c>
      <c r="B1290" s="11">
        <v>253.32616999999999</v>
      </c>
      <c r="C1290" s="11">
        <v>235.59894</v>
      </c>
    </row>
    <row r="1291" spans="1:3" x14ac:dyDescent="0.3">
      <c r="A1291" s="7">
        <v>45849</v>
      </c>
      <c r="B1291" s="11">
        <v>253.29651000000001</v>
      </c>
      <c r="C1291" s="11">
        <v>235.60005000000001</v>
      </c>
    </row>
    <row r="1292" spans="1:3" x14ac:dyDescent="0.3">
      <c r="A1292" s="7">
        <v>45850</v>
      </c>
      <c r="B1292" s="11">
        <v>253.31063</v>
      </c>
      <c r="C1292" s="11">
        <v>235.61472000000001</v>
      </c>
    </row>
    <row r="1293" spans="1:3" x14ac:dyDescent="0.3">
      <c r="A1293" s="7">
        <v>45851</v>
      </c>
      <c r="B1293" s="11">
        <v>253.32488000000001</v>
      </c>
      <c r="C1293" s="11">
        <v>235.62939</v>
      </c>
    </row>
    <row r="1294" spans="1:3" x14ac:dyDescent="0.3">
      <c r="A1294" s="7">
        <v>45852</v>
      </c>
      <c r="B1294" s="11">
        <v>253.23085</v>
      </c>
      <c r="C1294" s="11">
        <v>235.60615999999999</v>
      </c>
    </row>
    <row r="1295" spans="1:3" x14ac:dyDescent="0.3">
      <c r="A1295" s="7">
        <v>45853</v>
      </c>
      <c r="B1295" s="11">
        <v>253.29828000000001</v>
      </c>
      <c r="C1295" s="11">
        <v>235.63594000000001</v>
      </c>
    </row>
    <row r="1296" spans="1:3" x14ac:dyDescent="0.3">
      <c r="A1296" s="7">
        <v>45854</v>
      </c>
      <c r="B1296" s="11">
        <v>253.32492999999999</v>
      </c>
      <c r="C1296" s="11">
        <v>235.6481</v>
      </c>
    </row>
    <row r="1297" spans="1:3" x14ac:dyDescent="0.3">
      <c r="A1297" s="7">
        <v>45855</v>
      </c>
      <c r="B1297" s="11">
        <v>253.24861999999999</v>
      </c>
      <c r="C1297" s="11">
        <v>235.63468</v>
      </c>
    </row>
    <row r="1298" spans="1:3" x14ac:dyDescent="0.3">
      <c r="A1298" s="7">
        <v>45856</v>
      </c>
      <c r="B1298" s="11">
        <v>253.30898999999999</v>
      </c>
      <c r="C1298" s="11">
        <v>235.65612999999999</v>
      </c>
    </row>
    <row r="1299" spans="1:3" x14ac:dyDescent="0.3">
      <c r="A1299" s="7">
        <v>45857</v>
      </c>
      <c r="B1299" s="11">
        <v>253.32321999999999</v>
      </c>
      <c r="C1299" s="11">
        <v>235.67089999999999</v>
      </c>
    </row>
    <row r="1300" spans="1:3" x14ac:dyDescent="0.3">
      <c r="A1300" s="7">
        <v>45858</v>
      </c>
      <c r="B1300" s="11">
        <v>253.33760000000001</v>
      </c>
      <c r="C1300" s="11">
        <v>235.68566000000001</v>
      </c>
    </row>
    <row r="1301" spans="1:3" x14ac:dyDescent="0.3">
      <c r="A1301" s="7">
        <v>45859</v>
      </c>
      <c r="B1301" s="11">
        <v>253.41575</v>
      </c>
      <c r="C1301" s="11">
        <v>235.72436999999999</v>
      </c>
    </row>
    <row r="1302" spans="1:3" x14ac:dyDescent="0.3">
      <c r="A1302" s="7">
        <v>45860</v>
      </c>
      <c r="B1302" s="11">
        <v>253.43917999999999</v>
      </c>
      <c r="C1302" s="11">
        <v>235.73706999999999</v>
      </c>
    </row>
    <row r="1303" spans="1:3" x14ac:dyDescent="0.3">
      <c r="A1303" s="7">
        <v>45861</v>
      </c>
      <c r="B1303" s="11">
        <v>253.47805</v>
      </c>
      <c r="C1303" s="11">
        <v>235.75728000000001</v>
      </c>
    </row>
    <row r="1304" spans="1:3" x14ac:dyDescent="0.3">
      <c r="A1304" s="7">
        <v>45862</v>
      </c>
      <c r="B1304" s="11">
        <v>253.44153</v>
      </c>
      <c r="C1304" s="11">
        <v>235.75928999999999</v>
      </c>
    </row>
    <row r="1305" spans="1:3" x14ac:dyDescent="0.3">
      <c r="A1305" s="7">
        <v>45863</v>
      </c>
      <c r="B1305" s="11">
        <v>253.43316999999999</v>
      </c>
      <c r="C1305" s="11">
        <v>235.76517999999999</v>
      </c>
    </row>
    <row r="1306" spans="1:3" x14ac:dyDescent="0.3">
      <c r="A1306" s="7">
        <v>45864</v>
      </c>
      <c r="B1306" s="11">
        <v>253.44739000000001</v>
      </c>
      <c r="C1306" s="11">
        <v>235.77995999999999</v>
      </c>
    </row>
    <row r="1307" spans="1:3" x14ac:dyDescent="0.3">
      <c r="A1307" s="7">
        <v>45865</v>
      </c>
      <c r="B1307" s="11">
        <v>253.46161000000001</v>
      </c>
      <c r="C1307" s="11">
        <v>235.79473999999999</v>
      </c>
    </row>
    <row r="1308" spans="1:3" x14ac:dyDescent="0.3">
      <c r="A1308" s="7">
        <v>45866</v>
      </c>
      <c r="B1308" s="11">
        <v>253.56877</v>
      </c>
      <c r="C1308" s="11">
        <v>235.84249</v>
      </c>
    </row>
    <row r="1309" spans="1:3" x14ac:dyDescent="0.3">
      <c r="A1309" s="7">
        <v>45867</v>
      </c>
      <c r="B1309" s="11">
        <v>253.60428999999999</v>
      </c>
      <c r="C1309" s="11">
        <v>235.86859999999999</v>
      </c>
    </row>
    <row r="1310" spans="1:3" x14ac:dyDescent="0.3">
      <c r="A1310" s="7">
        <v>45868</v>
      </c>
      <c r="B1310" s="11">
        <v>253.60462999999999</v>
      </c>
      <c r="C1310" s="11">
        <v>235.87504999999999</v>
      </c>
    </row>
    <row r="1311" spans="1:3" x14ac:dyDescent="0.3">
      <c r="A1311" s="7">
        <v>45869</v>
      </c>
      <c r="B1311" s="11">
        <v>253.60947999999999</v>
      </c>
      <c r="C1311" s="11">
        <v>235.88251</v>
      </c>
    </row>
    <row r="1312" spans="1:3" x14ac:dyDescent="0.3">
      <c r="A1312" s="7">
        <v>45870</v>
      </c>
      <c r="B1312" s="11">
        <v>253.55452</v>
      </c>
      <c r="C1312" s="11">
        <v>235.87380999999999</v>
      </c>
    </row>
    <row r="1313" spans="1:3" x14ac:dyDescent="0.3">
      <c r="A1313" s="7">
        <v>45871</v>
      </c>
      <c r="B1313" s="11">
        <v>253.56959000000001</v>
      </c>
      <c r="C1313" s="11">
        <v>235.88865000000001</v>
      </c>
    </row>
    <row r="1314" spans="1:3" x14ac:dyDescent="0.3">
      <c r="A1314" s="7">
        <v>45872</v>
      </c>
      <c r="B1314" s="11">
        <v>253.58453</v>
      </c>
      <c r="C1314" s="11">
        <v>235.90349000000001</v>
      </c>
    </row>
    <row r="1315" spans="1:3" x14ac:dyDescent="0.3">
      <c r="A1315" s="7">
        <v>45873</v>
      </c>
      <c r="B1315" s="11">
        <v>253.80139</v>
      </c>
      <c r="C1315" s="11">
        <v>235.98123000000001</v>
      </c>
    </row>
    <row r="1316" spans="1:3" x14ac:dyDescent="0.3">
      <c r="A1316" s="7">
        <v>45874</v>
      </c>
      <c r="B1316" s="11">
        <v>253.81107</v>
      </c>
      <c r="C1316" s="11">
        <v>235.99735999999999</v>
      </c>
    </row>
    <row r="1317" spans="1:3" x14ac:dyDescent="0.3">
      <c r="A1317" s="7">
        <v>45875</v>
      </c>
      <c r="B1317" s="11">
        <v>253.82174000000001</v>
      </c>
      <c r="C1317" s="11">
        <v>236.01138</v>
      </c>
    </row>
    <row r="1318" spans="1:3" x14ac:dyDescent="0.3">
      <c r="A1318" s="7">
        <v>45876</v>
      </c>
      <c r="B1318" s="11">
        <v>253.91784999999999</v>
      </c>
      <c r="C1318" s="11">
        <v>236.05055999999999</v>
      </c>
    </row>
    <row r="1319" spans="1:3" x14ac:dyDescent="0.3">
      <c r="A1319" s="7">
        <v>45877</v>
      </c>
      <c r="B1319" s="11">
        <v>253.89661000000001</v>
      </c>
      <c r="C1319" s="11">
        <v>236.05072999999999</v>
      </c>
    </row>
    <row r="1320" spans="1:3" x14ac:dyDescent="0.3">
      <c r="A1320" s="7">
        <v>45878</v>
      </c>
      <c r="B1320" s="11">
        <v>253.91086999999999</v>
      </c>
      <c r="C1320" s="11">
        <v>236.06522000000001</v>
      </c>
    </row>
    <row r="1321" spans="1:3" x14ac:dyDescent="0.3">
      <c r="A1321" s="7">
        <v>45879</v>
      </c>
      <c r="B1321" s="11">
        <v>253.92556999999999</v>
      </c>
      <c r="C1321" s="11">
        <v>236.07996</v>
      </c>
    </row>
    <row r="1322" spans="1:3" x14ac:dyDescent="0.3">
      <c r="A1322" s="7">
        <v>45880</v>
      </c>
      <c r="B1322" s="11">
        <v>253.89187999999999</v>
      </c>
      <c r="C1322" s="11">
        <v>236.08014</v>
      </c>
    </row>
    <row r="1323" spans="1:3" x14ac:dyDescent="0.3">
      <c r="A1323" s="7">
        <v>45881</v>
      </c>
      <c r="B1323" s="11">
        <v>253.86417</v>
      </c>
      <c r="C1323" s="11">
        <v>236.08703</v>
      </c>
    </row>
    <row r="1324" spans="1:3" x14ac:dyDescent="0.3">
      <c r="A1324" s="7">
        <v>45882</v>
      </c>
      <c r="B1324" s="11">
        <v>253.94121999999999</v>
      </c>
      <c r="C1324" s="11">
        <v>236.12018</v>
      </c>
    </row>
    <row r="1325" spans="1:3" x14ac:dyDescent="0.3">
      <c r="A1325" s="7">
        <v>45883</v>
      </c>
      <c r="B1325" s="11">
        <v>254.01272</v>
      </c>
      <c r="C1325" s="11">
        <v>236.14576</v>
      </c>
    </row>
    <row r="1326" spans="1:3" x14ac:dyDescent="0.3">
      <c r="A1326" s="7">
        <v>45884</v>
      </c>
      <c r="B1326" s="11">
        <v>254.02752000000001</v>
      </c>
      <c r="C1326" s="11">
        <v>236.16050000000001</v>
      </c>
    </row>
    <row r="1327" spans="1:3" x14ac:dyDescent="0.3">
      <c r="A1327" s="7">
        <v>45885</v>
      </c>
      <c r="B1327" s="11">
        <v>254.04219000000001</v>
      </c>
      <c r="C1327" s="11">
        <v>236.17524</v>
      </c>
    </row>
    <row r="1328" spans="1:3" x14ac:dyDescent="0.3">
      <c r="A1328" s="7">
        <v>45886</v>
      </c>
      <c r="B1328" s="11">
        <v>254.05687</v>
      </c>
      <c r="C1328" s="11">
        <v>236.18997999999999</v>
      </c>
    </row>
    <row r="1329" spans="1:3" x14ac:dyDescent="0.3">
      <c r="A1329" s="7">
        <v>45887</v>
      </c>
      <c r="B1329" s="11">
        <v>253.95137</v>
      </c>
      <c r="C1329" s="11">
        <v>236.17590000000001</v>
      </c>
    </row>
    <row r="1330" spans="1:3" x14ac:dyDescent="0.3">
      <c r="A1330" s="7">
        <v>45888</v>
      </c>
      <c r="B1330" s="11">
        <v>253.91970000000001</v>
      </c>
      <c r="C1330" s="11">
        <v>236.18079</v>
      </c>
    </row>
    <row r="1331" spans="1:3" x14ac:dyDescent="0.3">
      <c r="A1331" s="7">
        <v>45889</v>
      </c>
      <c r="B1331" s="11">
        <v>253.96591000000001</v>
      </c>
      <c r="C1331" s="11">
        <v>236.20774</v>
      </c>
    </row>
    <row r="1332" spans="1:3" x14ac:dyDescent="0.3">
      <c r="A1332" s="7">
        <v>45890</v>
      </c>
      <c r="B1332" s="11">
        <v>253.98594</v>
      </c>
      <c r="C1332" s="11">
        <v>236.22146000000001</v>
      </c>
    </row>
    <row r="1333" spans="1:3" x14ac:dyDescent="0.3">
      <c r="A1333" s="7">
        <v>45891</v>
      </c>
      <c r="B1333" s="11">
        <v>253.94477000000001</v>
      </c>
      <c r="C1333" s="11">
        <v>236.22714999999999</v>
      </c>
    </row>
    <row r="1334" spans="1:3" x14ac:dyDescent="0.3">
      <c r="A1334" s="7">
        <v>45892</v>
      </c>
      <c r="B1334" s="11">
        <v>253.95962</v>
      </c>
      <c r="C1334" s="11">
        <v>236.24194</v>
      </c>
    </row>
    <row r="1335" spans="1:3" x14ac:dyDescent="0.3">
      <c r="A1335" s="7">
        <v>45893</v>
      </c>
      <c r="B1335" s="11">
        <v>253.97447</v>
      </c>
      <c r="C1335" s="11">
        <v>236.25673</v>
      </c>
    </row>
    <row r="1336" spans="1:3" x14ac:dyDescent="0.3">
      <c r="A1336" s="7">
        <v>45894</v>
      </c>
      <c r="B1336" s="11">
        <v>254.06618</v>
      </c>
      <c r="C1336" s="11">
        <v>236.29489000000001</v>
      </c>
    </row>
    <row r="1337" spans="1:3" x14ac:dyDescent="0.3">
      <c r="A1337" s="7">
        <v>45895</v>
      </c>
      <c r="B1337" s="11">
        <v>254.13523000000001</v>
      </c>
      <c r="C1337" s="11">
        <v>236.32974999999999</v>
      </c>
    </row>
    <row r="1338" spans="1:3" x14ac:dyDescent="0.3">
      <c r="A1338" s="7">
        <v>45896</v>
      </c>
      <c r="B1338" s="11">
        <v>254.21047999999999</v>
      </c>
      <c r="C1338" s="11">
        <v>236.35516000000001</v>
      </c>
    </row>
    <row r="1339" spans="1:3" x14ac:dyDescent="0.3">
      <c r="A1339" s="7">
        <v>45897</v>
      </c>
      <c r="B1339" s="11">
        <v>254.17864</v>
      </c>
      <c r="C1339" s="11">
        <v>236.36002999999999</v>
      </c>
    </row>
    <row r="1340" spans="1:3" x14ac:dyDescent="0.3">
      <c r="A1340" s="7">
        <v>45898</v>
      </c>
      <c r="B1340" s="11">
        <v>254.16325000000001</v>
      </c>
      <c r="C1340" s="11">
        <v>236.36562000000001</v>
      </c>
    </row>
    <row r="1341" spans="1:3" x14ac:dyDescent="0.3">
      <c r="A1341" s="7">
        <v>45899</v>
      </c>
      <c r="B1341" s="11">
        <v>254.17797999999999</v>
      </c>
      <c r="C1341" s="11">
        <v>236.38036</v>
      </c>
    </row>
    <row r="1342" spans="1:3" x14ac:dyDescent="0.3">
      <c r="A1342" s="7">
        <v>45900</v>
      </c>
      <c r="B1342" s="11">
        <v>254.19283999999999</v>
      </c>
      <c r="C1342" s="11">
        <v>236.39510000000001</v>
      </c>
    </row>
    <row r="1343" spans="1:3" x14ac:dyDescent="0.3">
      <c r="A1343" s="7">
        <v>45901</v>
      </c>
      <c r="B1343" s="11">
        <v>254.18603999999999</v>
      </c>
      <c r="C1343" s="11">
        <v>236.40509</v>
      </c>
    </row>
    <row r="1344" spans="1:3" x14ac:dyDescent="0.3">
      <c r="A1344" s="7">
        <v>45902</v>
      </c>
      <c r="B1344" s="11">
        <v>254.14788999999999</v>
      </c>
      <c r="C1344" s="11">
        <v>236.40808999999999</v>
      </c>
    </row>
    <row r="1345" spans="1:3" x14ac:dyDescent="0.3">
      <c r="A1345" s="7">
        <v>45903</v>
      </c>
      <c r="B1345" s="11">
        <v>254.07024999999999</v>
      </c>
      <c r="C1345" s="11">
        <v>236.39467999999999</v>
      </c>
    </row>
    <row r="1346" spans="1:3" x14ac:dyDescent="0.3">
      <c r="A1346" s="7">
        <v>45904</v>
      </c>
      <c r="B1346" s="11">
        <v>254.08805000000001</v>
      </c>
      <c r="C1346" s="11">
        <v>236.40434999999999</v>
      </c>
    </row>
    <row r="1347" spans="1:3" x14ac:dyDescent="0.3">
      <c r="A1347" s="7">
        <v>45905</v>
      </c>
      <c r="B1347" s="11">
        <v>254.12099000000001</v>
      </c>
      <c r="C1347" s="11">
        <v>236.41766000000001</v>
      </c>
    </row>
    <row r="1348" spans="1:3" x14ac:dyDescent="0.3">
      <c r="A1348" s="7">
        <v>45906</v>
      </c>
      <c r="B1348" s="11">
        <v>254.13679999999999</v>
      </c>
      <c r="C1348" s="11">
        <v>236.43261999999999</v>
      </c>
    </row>
    <row r="1349" spans="1:3" x14ac:dyDescent="0.3">
      <c r="A1349" s="7">
        <v>45907</v>
      </c>
      <c r="B1349" s="11">
        <v>254.15260000000001</v>
      </c>
      <c r="C1349" s="11">
        <v>236.44757000000001</v>
      </c>
    </row>
    <row r="1350" spans="1:3" x14ac:dyDescent="0.3">
      <c r="A1350" s="7">
        <v>45908</v>
      </c>
      <c r="B1350" s="11">
        <v>254.19864999999999</v>
      </c>
      <c r="C1350" s="11">
        <v>236.46403000000001</v>
      </c>
    </row>
    <row r="1351" spans="1:3" x14ac:dyDescent="0.3">
      <c r="A1351" s="7">
        <v>45909</v>
      </c>
      <c r="B1351" s="11">
        <v>254.28918999999999</v>
      </c>
      <c r="C1351" s="11">
        <v>236.49573000000001</v>
      </c>
    </row>
    <row r="1352" spans="1:3" x14ac:dyDescent="0.3">
      <c r="A1352" s="7">
        <v>45910</v>
      </c>
      <c r="B1352" s="11">
        <v>254.3073</v>
      </c>
      <c r="C1352" s="11">
        <v>236.51089999999999</v>
      </c>
    </row>
    <row r="1353" spans="1:3" x14ac:dyDescent="0.3">
      <c r="A1353" s="7">
        <v>45911</v>
      </c>
      <c r="B1353" s="11">
        <v>254.35993999999999</v>
      </c>
      <c r="C1353" s="11">
        <v>236.53973999999999</v>
      </c>
    </row>
    <row r="1354" spans="1:3" x14ac:dyDescent="0.3">
      <c r="A1354" s="7">
        <v>45912</v>
      </c>
      <c r="B1354" s="11">
        <v>254.33049</v>
      </c>
      <c r="C1354" s="11">
        <v>236.53845000000001</v>
      </c>
    </row>
    <row r="1355" spans="1:3" x14ac:dyDescent="0.3">
      <c r="A1355" s="7">
        <v>45913</v>
      </c>
      <c r="B1355" s="11">
        <v>254.34622999999999</v>
      </c>
      <c r="C1355" s="11">
        <v>236.55341999999999</v>
      </c>
    </row>
    <row r="1356" spans="1:3" x14ac:dyDescent="0.3">
      <c r="A1356" s="7">
        <v>45914</v>
      </c>
      <c r="B1356" s="11">
        <v>254.36197000000001</v>
      </c>
      <c r="C1356" s="11">
        <v>236.56838999999999</v>
      </c>
    </row>
    <row r="1357" spans="1:3" x14ac:dyDescent="0.3">
      <c r="A1357" s="7">
        <v>45915</v>
      </c>
      <c r="B1357" s="11">
        <v>254.34904</v>
      </c>
      <c r="C1357" s="11">
        <v>236.57066</v>
      </c>
    </row>
    <row r="1358" spans="1:3" x14ac:dyDescent="0.3">
      <c r="A1358" s="7">
        <v>45916</v>
      </c>
      <c r="B1358" s="11">
        <v>254.46933000000001</v>
      </c>
      <c r="C1358" s="11">
        <v>236.61655999999999</v>
      </c>
    </row>
    <row r="1359" spans="1:3" x14ac:dyDescent="0.3">
      <c r="A1359" s="7">
        <v>45917</v>
      </c>
      <c r="B1359" s="11">
        <v>254.49772999999999</v>
      </c>
      <c r="C1359" s="11">
        <v>236.62889999999999</v>
      </c>
    </row>
    <row r="1360" spans="1:3" x14ac:dyDescent="0.3">
      <c r="A1360" s="7">
        <v>45918</v>
      </c>
      <c r="B1360" s="11">
        <v>254.55364</v>
      </c>
      <c r="C1360" s="11">
        <v>236.65251000000001</v>
      </c>
    </row>
    <row r="1361" spans="1:3" x14ac:dyDescent="0.3">
      <c r="A1361" s="7">
        <v>45919</v>
      </c>
      <c r="B1361" s="11">
        <v>254.45233999999999</v>
      </c>
      <c r="C1361" s="11">
        <v>236.63292000000001</v>
      </c>
    </row>
    <row r="1362" spans="1:3" x14ac:dyDescent="0.3">
      <c r="A1362" s="7">
        <v>45920</v>
      </c>
      <c r="B1362" s="11">
        <v>254.46807999999999</v>
      </c>
      <c r="C1362" s="11">
        <v>236.64794000000001</v>
      </c>
    </row>
    <row r="1363" spans="1:3" x14ac:dyDescent="0.3">
      <c r="A1363" s="7">
        <v>45921</v>
      </c>
      <c r="B1363" s="11">
        <v>254.48382000000001</v>
      </c>
      <c r="C1363" s="11">
        <v>236.66296</v>
      </c>
    </row>
    <row r="1364" spans="1:3" x14ac:dyDescent="0.3">
      <c r="A1364" s="7">
        <v>45922</v>
      </c>
      <c r="B1364" s="11">
        <v>254.43199999999999</v>
      </c>
      <c r="C1364" s="11">
        <v>236.65261000000001</v>
      </c>
    </row>
    <row r="1365" spans="1:3" x14ac:dyDescent="0.3">
      <c r="A1365" s="7">
        <v>45923</v>
      </c>
      <c r="B1365" s="11">
        <v>254.44394</v>
      </c>
      <c r="C1365" s="11">
        <v>236.66428999999999</v>
      </c>
    </row>
    <row r="1366" spans="1:3" x14ac:dyDescent="0.3">
      <c r="A1366" s="7">
        <v>45924</v>
      </c>
      <c r="B1366" s="11">
        <v>254.36888999999999</v>
      </c>
      <c r="C1366" s="11">
        <v>236.65181000000001</v>
      </c>
    </row>
    <row r="1367" spans="1:3" x14ac:dyDescent="0.3">
      <c r="A1367" s="7">
        <v>45925</v>
      </c>
      <c r="B1367" s="11">
        <v>254.21725000000001</v>
      </c>
      <c r="C1367" s="11">
        <v>236.61591000000001</v>
      </c>
    </row>
    <row r="1368" spans="1:3" x14ac:dyDescent="0.3">
      <c r="A1368" s="7">
        <v>45926</v>
      </c>
      <c r="B1368" s="11">
        <v>254.12269000000001</v>
      </c>
      <c r="C1368" s="11">
        <v>236.59648000000001</v>
      </c>
    </row>
    <row r="1369" spans="1:3" x14ac:dyDescent="0.3">
      <c r="A1369" s="7">
        <v>45927</v>
      </c>
      <c r="B1369" s="11">
        <v>254.13894999999999</v>
      </c>
      <c r="C1369" s="11">
        <v>236.61177000000001</v>
      </c>
    </row>
    <row r="1370" spans="1:3" x14ac:dyDescent="0.3">
      <c r="A1370" s="7">
        <v>45928</v>
      </c>
      <c r="B1370" s="11">
        <v>254.15521000000001</v>
      </c>
      <c r="C1370" s="11">
        <v>236.62706</v>
      </c>
    </row>
    <row r="1371" spans="1:3" x14ac:dyDescent="0.3">
      <c r="A1371" s="7">
        <v>45929</v>
      </c>
      <c r="B1371" s="11">
        <v>254.14657</v>
      </c>
      <c r="C1371" s="11">
        <v>236.63273000000001</v>
      </c>
    </row>
    <row r="1372" spans="1:3" x14ac:dyDescent="0.3">
      <c r="A1372" s="7">
        <v>45930</v>
      </c>
      <c r="B1372" s="11">
        <v>254.11618999999999</v>
      </c>
      <c r="C1372" s="11">
        <v>236.64035000000001</v>
      </c>
    </row>
    <row r="1373" spans="1:3" x14ac:dyDescent="0.3">
      <c r="A1373" s="7">
        <v>45931</v>
      </c>
      <c r="B1373" s="11">
        <v>254.08430000000001</v>
      </c>
      <c r="C1373" s="11">
        <v>236.64734999999999</v>
      </c>
    </row>
    <row r="1374" spans="1:3" x14ac:dyDescent="0.3">
      <c r="A1374" s="7">
        <v>45932</v>
      </c>
      <c r="B1374" s="11">
        <v>254.18376000000001</v>
      </c>
      <c r="C1374" s="11">
        <v>236.69335000000001</v>
      </c>
    </row>
    <row r="1375" spans="1:3" x14ac:dyDescent="0.3">
      <c r="A1375" s="7">
        <v>45933</v>
      </c>
      <c r="B1375" s="11">
        <v>254.19937999999999</v>
      </c>
      <c r="C1375" s="11">
        <v>236.70874000000001</v>
      </c>
    </row>
    <row r="1376" spans="1:3" x14ac:dyDescent="0.3">
      <c r="A1376" s="7">
        <v>45934</v>
      </c>
      <c r="B1376" s="11">
        <v>254.215</v>
      </c>
      <c r="C1376" s="11">
        <v>236.72413</v>
      </c>
    </row>
    <row r="1377" spans="1:3" x14ac:dyDescent="0.3">
      <c r="A1377" s="7">
        <v>45935</v>
      </c>
      <c r="B1377" s="11">
        <v>254.23061999999999</v>
      </c>
      <c r="C1377" s="11">
        <v>236.73951</v>
      </c>
    </row>
    <row r="1378" spans="1:3" x14ac:dyDescent="0.3">
      <c r="A1378" s="7">
        <v>45936</v>
      </c>
      <c r="B1378" s="11">
        <v>254.24610999999999</v>
      </c>
      <c r="C1378" s="11">
        <v>236.75489999999999</v>
      </c>
    </row>
    <row r="1379" spans="1:3" x14ac:dyDescent="0.3">
      <c r="A1379" s="7">
        <v>45937</v>
      </c>
      <c r="B1379" s="11">
        <v>254.26173</v>
      </c>
      <c r="C1379" s="11">
        <v>236.77028000000001</v>
      </c>
    </row>
    <row r="1380" spans="1:3" x14ac:dyDescent="0.3">
      <c r="A1380" s="7">
        <v>45938</v>
      </c>
      <c r="B1380" s="11">
        <v>254.27735999999999</v>
      </c>
      <c r="C1380" s="11">
        <v>236.78567000000001</v>
      </c>
    </row>
    <row r="1381" spans="1:3" x14ac:dyDescent="0.3">
      <c r="A1381" s="7">
        <v>45939</v>
      </c>
      <c r="B1381" s="11">
        <v>254.29284999999999</v>
      </c>
      <c r="C1381" s="11">
        <v>236.80106000000001</v>
      </c>
    </row>
    <row r="1382" spans="1:3" x14ac:dyDescent="0.3">
      <c r="A1382" s="7">
        <v>45940</v>
      </c>
      <c r="B1382" s="11">
        <v>254.29857999999999</v>
      </c>
      <c r="C1382" s="11">
        <v>236.81807000000001</v>
      </c>
    </row>
    <row r="1383" spans="1:3" x14ac:dyDescent="0.3">
      <c r="A1383" s="7">
        <v>45941</v>
      </c>
      <c r="B1383" s="11">
        <v>254.31423000000001</v>
      </c>
      <c r="C1383" s="11">
        <v>236.83347000000001</v>
      </c>
    </row>
    <row r="1384" spans="1:3" x14ac:dyDescent="0.3">
      <c r="A1384" s="7">
        <v>45942</v>
      </c>
      <c r="B1384" s="11">
        <v>254.32988</v>
      </c>
      <c r="C1384" s="11">
        <v>236.84887000000001</v>
      </c>
    </row>
    <row r="1385" spans="1:3" x14ac:dyDescent="0.3">
      <c r="A1385" s="7">
        <v>45943</v>
      </c>
      <c r="B1385" s="11">
        <v>254.47486000000001</v>
      </c>
      <c r="C1385" s="11">
        <v>236.90585999999999</v>
      </c>
    </row>
    <row r="1386" spans="1:3" x14ac:dyDescent="0.3">
      <c r="A1386" s="7">
        <v>45944</v>
      </c>
      <c r="B1386" s="11">
        <v>254.57489000000001</v>
      </c>
      <c r="C1386" s="11">
        <v>236.94604000000001</v>
      </c>
    </row>
    <row r="1387" spans="1:3" x14ac:dyDescent="0.3">
      <c r="A1387" s="7">
        <v>45945</v>
      </c>
      <c r="B1387" s="11">
        <v>254.63633999999999</v>
      </c>
      <c r="C1387" s="11">
        <v>236.98045999999999</v>
      </c>
    </row>
    <row r="1388" spans="1:3" x14ac:dyDescent="0.3">
      <c r="A1388" s="7">
        <v>45946</v>
      </c>
      <c r="B1388" s="11">
        <v>254.46886000000001</v>
      </c>
      <c r="C1388" s="11">
        <v>236.93984</v>
      </c>
    </row>
    <row r="1389" spans="1:3" x14ac:dyDescent="0.3">
      <c r="A1389" s="7">
        <v>45947</v>
      </c>
      <c r="B1389" s="11">
        <v>254.62594999999999</v>
      </c>
      <c r="C1389" s="11">
        <v>237.00146000000001</v>
      </c>
    </row>
    <row r="1390" spans="1:3" x14ac:dyDescent="0.3">
      <c r="A1390" s="7">
        <v>45948</v>
      </c>
      <c r="B1390" s="11">
        <v>254.64134999999999</v>
      </c>
      <c r="C1390" s="11">
        <v>237.01673</v>
      </c>
    </row>
    <row r="1391" spans="1:3" x14ac:dyDescent="0.3">
      <c r="A1391" s="7">
        <v>45949</v>
      </c>
      <c r="B1391" s="11">
        <v>254.65674999999999</v>
      </c>
      <c r="C1391" s="11">
        <v>237.03201000000001</v>
      </c>
    </row>
    <row r="1392" spans="1:3" x14ac:dyDescent="0.3">
      <c r="A1392" s="7">
        <v>45950</v>
      </c>
      <c r="B1392" s="11">
        <v>254.55179999999999</v>
      </c>
      <c r="C1392" s="11">
        <v>237.00976</v>
      </c>
    </row>
    <row r="1393" spans="1:3" x14ac:dyDescent="0.3">
      <c r="A1393" s="7">
        <v>45951</v>
      </c>
      <c r="B1393" s="11">
        <v>254.44717</v>
      </c>
      <c r="C1393" s="11">
        <v>236.97483</v>
      </c>
    </row>
    <row r="1394" spans="1:3" x14ac:dyDescent="0.3">
      <c r="A1394" s="7">
        <v>45952</v>
      </c>
      <c r="B1394" s="11">
        <v>254.6258</v>
      </c>
      <c r="C1394" s="11">
        <v>237.03349</v>
      </c>
    </row>
    <row r="1395" spans="1:3" x14ac:dyDescent="0.3">
      <c r="A1395" s="7">
        <v>45953</v>
      </c>
      <c r="B1395" s="11">
        <v>254.46917999999999</v>
      </c>
      <c r="C1395" s="11">
        <v>236.98963000000001</v>
      </c>
    </row>
    <row r="1396" spans="1:3" x14ac:dyDescent="0.3">
      <c r="A1396" s="7">
        <v>45954</v>
      </c>
      <c r="B1396" s="11">
        <v>254.54092</v>
      </c>
      <c r="C1396" s="11">
        <v>237.01865000000001</v>
      </c>
    </row>
    <row r="1397" spans="1:3" x14ac:dyDescent="0.3">
      <c r="A1397" s="7">
        <v>45955</v>
      </c>
      <c r="B1397" s="11">
        <v>254.55661000000001</v>
      </c>
      <c r="C1397" s="11">
        <v>237.03415000000001</v>
      </c>
    </row>
    <row r="1398" spans="1:3" x14ac:dyDescent="0.3">
      <c r="A1398" s="7">
        <v>45956</v>
      </c>
      <c r="B1398" s="11">
        <v>254.57230999999999</v>
      </c>
      <c r="C1398" s="11">
        <v>237.04965000000001</v>
      </c>
    </row>
    <row r="1399" spans="1:3" x14ac:dyDescent="0.3">
      <c r="A1399" s="7">
        <v>45957</v>
      </c>
      <c r="B1399" s="11">
        <v>254.43939</v>
      </c>
      <c r="C1399" s="11">
        <v>237.01516000000001</v>
      </c>
    </row>
    <row r="1400" spans="1:3" x14ac:dyDescent="0.3">
      <c r="A1400" s="7">
        <v>45958</v>
      </c>
      <c r="B1400" s="11">
        <v>254.40172000000001</v>
      </c>
      <c r="C1400" s="11">
        <v>237.0136</v>
      </c>
    </row>
    <row r="1401" spans="1:3" x14ac:dyDescent="0.3">
      <c r="A1401" s="7">
        <v>45959</v>
      </c>
      <c r="B1401" s="11">
        <v>254.25693999999999</v>
      </c>
      <c r="C1401" s="11">
        <v>236.96798999999999</v>
      </c>
    </row>
    <row r="1402" spans="1:3" x14ac:dyDescent="0.3">
      <c r="A1402" s="7">
        <v>45960</v>
      </c>
      <c r="B1402" s="11">
        <v>254.02753000000001</v>
      </c>
      <c r="C1402" s="11">
        <v>236.89281</v>
      </c>
    </row>
    <row r="1403" spans="1:3" x14ac:dyDescent="0.3">
      <c r="A1403" s="7">
        <v>45961</v>
      </c>
      <c r="B1403" s="11">
        <v>254.12226999999999</v>
      </c>
      <c r="C1403" s="11">
        <v>236.92738</v>
      </c>
    </row>
    <row r="1404" spans="1:3" x14ac:dyDescent="0.3">
      <c r="A1404" s="7">
        <v>45962</v>
      </c>
      <c r="B1404" s="11">
        <v>254.14186000000001</v>
      </c>
      <c r="C1404" s="11">
        <v>236.94334000000001</v>
      </c>
    </row>
    <row r="1405" spans="1:3" x14ac:dyDescent="0.3">
      <c r="A1405" s="7">
        <v>45963</v>
      </c>
      <c r="B1405" s="11">
        <v>254.16130999999999</v>
      </c>
      <c r="C1405" s="11">
        <v>236.95929000000001</v>
      </c>
    </row>
    <row r="1406" spans="1:3" x14ac:dyDescent="0.3">
      <c r="A1406" s="7">
        <v>45964</v>
      </c>
      <c r="B1406" s="11">
        <v>254.04491999999999</v>
      </c>
      <c r="C1406" s="11">
        <v>236.91548</v>
      </c>
    </row>
    <row r="1407" spans="1:3" x14ac:dyDescent="0.3">
      <c r="A1407" s="7">
        <v>45965</v>
      </c>
      <c r="B1407" s="11">
        <v>254.10822999999999</v>
      </c>
      <c r="C1407" s="11">
        <v>236.93405999999999</v>
      </c>
    </row>
    <row r="1408" spans="1:3" x14ac:dyDescent="0.3">
      <c r="A1408" s="7">
        <v>45966</v>
      </c>
      <c r="B1408" s="11">
        <v>253.97438</v>
      </c>
      <c r="C1408" s="11">
        <v>236.89992000000001</v>
      </c>
    </row>
    <row r="1409" spans="1:3" x14ac:dyDescent="0.3">
      <c r="A1409" s="7">
        <v>45967</v>
      </c>
      <c r="B1409" s="11">
        <v>253.69646</v>
      </c>
      <c r="C1409" s="11">
        <v>236.80676</v>
      </c>
    </row>
    <row r="1410" spans="1:3" x14ac:dyDescent="0.3">
      <c r="A1410" s="7">
        <v>45968</v>
      </c>
      <c r="B1410" s="11">
        <v>253.53960000000001</v>
      </c>
      <c r="C1410" s="11">
        <v>236.75033999999999</v>
      </c>
    </row>
    <row r="1411" spans="1:3" x14ac:dyDescent="0.3">
      <c r="A1411" s="7">
        <v>45969</v>
      </c>
      <c r="B1411" s="11">
        <v>253.56030000000001</v>
      </c>
      <c r="C1411" s="11">
        <v>236.76695000000001</v>
      </c>
    </row>
    <row r="1412" spans="1:3" x14ac:dyDescent="0.3">
      <c r="A1412" s="7">
        <v>45970</v>
      </c>
      <c r="B1412" s="11">
        <v>253.58085</v>
      </c>
      <c r="C1412" s="11">
        <v>236.78357</v>
      </c>
    </row>
    <row r="1413" spans="1:3" x14ac:dyDescent="0.3">
      <c r="A1413" s="7">
        <v>45971</v>
      </c>
      <c r="B1413" s="11">
        <v>253.68749</v>
      </c>
      <c r="C1413" s="11">
        <v>236.82512</v>
      </c>
    </row>
    <row r="1414" spans="1:3" x14ac:dyDescent="0.3">
      <c r="A1414" s="7">
        <v>45972</v>
      </c>
      <c r="B1414" s="11">
        <v>253.8578</v>
      </c>
      <c r="C1414" s="11">
        <v>236.87209999999999</v>
      </c>
    </row>
    <row r="1415" spans="1:3" x14ac:dyDescent="0.3">
      <c r="A1415" s="7">
        <v>45973</v>
      </c>
      <c r="B1415" s="11">
        <v>253.55467999999999</v>
      </c>
      <c r="C1415" s="11">
        <v>236.77502999999999</v>
      </c>
    </row>
    <row r="1416" spans="1:3" x14ac:dyDescent="0.3">
      <c r="A1416" s="7">
        <v>45974</v>
      </c>
      <c r="B1416" s="11">
        <v>253.50793999999999</v>
      </c>
      <c r="C1416" s="11">
        <v>236.75655</v>
      </c>
    </row>
    <row r="1417" spans="1:3" x14ac:dyDescent="0.3">
      <c r="A1417" s="7">
        <v>45975</v>
      </c>
      <c r="B1417" s="11">
        <v>253.40575000000001</v>
      </c>
      <c r="C1417" s="11">
        <v>236.73854</v>
      </c>
    </row>
    <row r="1418" spans="1:3" x14ac:dyDescent="0.3">
      <c r="A1418" s="7">
        <v>45976</v>
      </c>
      <c r="B1418" s="11">
        <v>253.42679000000001</v>
      </c>
      <c r="C1418" s="11">
        <v>236.75548000000001</v>
      </c>
    </row>
    <row r="1419" spans="1:3" x14ac:dyDescent="0.3">
      <c r="A1419" s="7">
        <v>45977</v>
      </c>
      <c r="B1419" s="11">
        <v>253.4477</v>
      </c>
      <c r="C1419" s="11">
        <v>236.77242000000001</v>
      </c>
    </row>
    <row r="1420" spans="1:3" x14ac:dyDescent="0.3">
      <c r="A1420" s="7">
        <v>45978</v>
      </c>
      <c r="B1420" s="11">
        <v>253.63531</v>
      </c>
      <c r="C1420" s="11">
        <v>236.84650999999999</v>
      </c>
    </row>
    <row r="1421" spans="1:3" x14ac:dyDescent="0.3">
      <c r="A1421" s="7">
        <v>45979</v>
      </c>
      <c r="B1421" s="11">
        <v>253.81072</v>
      </c>
      <c r="C1421" s="11">
        <v>236.91041999999999</v>
      </c>
    </row>
    <row r="1422" spans="1:3" x14ac:dyDescent="0.3">
      <c r="A1422" s="7">
        <v>45980</v>
      </c>
      <c r="B1422" s="11">
        <v>253.82708</v>
      </c>
      <c r="C1422" s="11">
        <v>236.93132</v>
      </c>
    </row>
    <row r="1423" spans="1:3" x14ac:dyDescent="0.3">
      <c r="A1423" s="7">
        <v>45981</v>
      </c>
      <c r="B1423" s="11">
        <v>253.70997</v>
      </c>
      <c r="C1423" s="11">
        <v>236.9126</v>
      </c>
    </row>
    <row r="1424" spans="1:3" x14ac:dyDescent="0.3">
      <c r="A1424" s="7">
        <v>45982</v>
      </c>
      <c r="B1424" s="11">
        <v>253.89589000000001</v>
      </c>
      <c r="C1424" s="11">
        <v>236.99807000000001</v>
      </c>
    </row>
    <row r="1425" spans="1:3" x14ac:dyDescent="0.3">
      <c r="A1425" s="7">
        <v>45983</v>
      </c>
      <c r="B1425" s="11">
        <v>253.91647</v>
      </c>
      <c r="C1425" s="11">
        <v>237.01477</v>
      </c>
    </row>
    <row r="1426" spans="1:3" x14ac:dyDescent="0.3">
      <c r="A1426" s="7">
        <v>45984</v>
      </c>
      <c r="B1426" s="11">
        <v>253.93691999999999</v>
      </c>
      <c r="C1426" s="11">
        <v>237.03146000000001</v>
      </c>
    </row>
    <row r="1427" spans="1:3" x14ac:dyDescent="0.3">
      <c r="A1427" s="7">
        <v>45985</v>
      </c>
      <c r="B1427" s="11">
        <v>253.86528999999999</v>
      </c>
      <c r="C1427" s="11">
        <v>237.03440000000001</v>
      </c>
    </row>
    <row r="1428" spans="1:3" x14ac:dyDescent="0.3">
      <c r="A1428" s="7">
        <v>45986</v>
      </c>
      <c r="B1428" s="11">
        <v>253.88679999999999</v>
      </c>
      <c r="C1428" s="11">
        <v>237.04892000000001</v>
      </c>
    </row>
    <row r="1429" spans="1:3" x14ac:dyDescent="0.3">
      <c r="A1429" s="7">
        <v>45987</v>
      </c>
      <c r="B1429" s="11">
        <v>253.92527000000001</v>
      </c>
      <c r="C1429" s="11">
        <v>237.0608</v>
      </c>
    </row>
    <row r="1430" spans="1:3" x14ac:dyDescent="0.3">
      <c r="A1430" s="7">
        <v>45988</v>
      </c>
      <c r="B1430" s="11">
        <v>253.50333000000001</v>
      </c>
      <c r="C1430" s="11">
        <v>236.92791</v>
      </c>
    </row>
    <row r="1431" spans="1:3" x14ac:dyDescent="0.3">
      <c r="A1431" s="7">
        <v>45989</v>
      </c>
      <c r="B1431" s="11">
        <v>253.63412</v>
      </c>
      <c r="C1431" s="11">
        <v>236.96644000000001</v>
      </c>
    </row>
    <row r="1432" spans="1:3" x14ac:dyDescent="0.3">
      <c r="A1432" s="7">
        <v>45990</v>
      </c>
      <c r="B1432" s="11">
        <v>253.65522999999999</v>
      </c>
      <c r="C1432" s="11">
        <v>236.98346000000001</v>
      </c>
    </row>
    <row r="1433" spans="1:3" x14ac:dyDescent="0.3">
      <c r="A1433" s="7">
        <v>45991</v>
      </c>
      <c r="B1433" s="11">
        <v>253.67619999999999</v>
      </c>
      <c r="C1433" s="11">
        <v>237.00048000000001</v>
      </c>
    </row>
    <row r="1434" spans="1:3" x14ac:dyDescent="0.3">
      <c r="A1434" s="7">
        <v>45992</v>
      </c>
      <c r="B1434" s="11">
        <v>253.48121</v>
      </c>
      <c r="C1434" s="11">
        <v>236.93713</v>
      </c>
    </row>
    <row r="1435" spans="1:3" x14ac:dyDescent="0.3">
      <c r="A1435" s="7">
        <v>45993</v>
      </c>
      <c r="B1435" s="11">
        <v>253.59338</v>
      </c>
      <c r="C1435" s="11">
        <v>236.97989000000001</v>
      </c>
    </row>
    <row r="1436" spans="1:3" x14ac:dyDescent="0.3">
      <c r="A1436" s="7">
        <v>45994</v>
      </c>
      <c r="B1436" s="11">
        <v>253.54415</v>
      </c>
      <c r="C1436" s="11">
        <v>236.97158999999999</v>
      </c>
    </row>
    <row r="1437" spans="1:3" x14ac:dyDescent="0.3">
      <c r="A1437" s="7">
        <v>45995</v>
      </c>
      <c r="B1437" s="11">
        <v>253.63428999999999</v>
      </c>
      <c r="C1437" s="11">
        <v>237.01796999999999</v>
      </c>
    </row>
    <row r="1438" spans="1:3" x14ac:dyDescent="0.3">
      <c r="A1438" s="7">
        <v>45996</v>
      </c>
      <c r="B1438" s="11">
        <v>253.79714000000001</v>
      </c>
      <c r="C1438" s="11">
        <v>237.07445999999999</v>
      </c>
    </row>
    <row r="1439" spans="1:3" x14ac:dyDescent="0.3">
      <c r="A1439" s="7">
        <v>45997</v>
      </c>
      <c r="B1439" s="11">
        <v>253.81704999999999</v>
      </c>
      <c r="C1439" s="11">
        <v>237.09180000000001</v>
      </c>
    </row>
    <row r="1440" spans="1:3" x14ac:dyDescent="0.3">
      <c r="A1440" s="7">
        <v>45998</v>
      </c>
      <c r="B1440" s="11">
        <v>253.83696</v>
      </c>
      <c r="C1440" s="11">
        <v>237.10914</v>
      </c>
    </row>
    <row r="1441" spans="1:3" x14ac:dyDescent="0.3">
      <c r="A1441" s="7">
        <v>45999</v>
      </c>
      <c r="B1441" s="11">
        <v>253.70520999999999</v>
      </c>
      <c r="C1441" s="11">
        <v>237.08563000000001</v>
      </c>
    </row>
    <row r="1442" spans="1:3" x14ac:dyDescent="0.3">
      <c r="A1442" s="7">
        <v>46000</v>
      </c>
      <c r="B1442" s="11">
        <v>253.53131999999999</v>
      </c>
      <c r="C1442" s="11">
        <v>237.04328000000001</v>
      </c>
    </row>
    <row r="1443" spans="1:3" x14ac:dyDescent="0.3">
      <c r="A1443" s="7">
        <v>46001</v>
      </c>
      <c r="B1443" s="11">
        <v>253.45391000000001</v>
      </c>
      <c r="C1443" s="11">
        <v>237.03551999999999</v>
      </c>
    </row>
    <row r="1444" spans="1:3" x14ac:dyDescent="0.3">
      <c r="A1444" s="7">
        <v>46002</v>
      </c>
      <c r="B1444" s="11">
        <v>253.45089999999999</v>
      </c>
      <c r="C1444" s="11">
        <v>237.04557</v>
      </c>
    </row>
    <row r="1445" spans="1:3" x14ac:dyDescent="0.3">
      <c r="A1445" s="7">
        <v>46003</v>
      </c>
      <c r="B1445" s="11">
        <v>253.54277999999999</v>
      </c>
      <c r="C1445" s="11">
        <v>237.09189000000001</v>
      </c>
    </row>
    <row r="1446" spans="1:3" x14ac:dyDescent="0.3">
      <c r="A1446" s="7">
        <v>46004</v>
      </c>
      <c r="B1446" s="11">
        <v>253.56308999999999</v>
      </c>
      <c r="C1446" s="11">
        <v>237.10939999999999</v>
      </c>
    </row>
    <row r="1447" spans="1:3" x14ac:dyDescent="0.3">
      <c r="A1447" s="7">
        <v>46005</v>
      </c>
      <c r="B1447" s="11">
        <v>253.58340999999999</v>
      </c>
      <c r="C1447" s="11">
        <v>237.12691000000001</v>
      </c>
    </row>
    <row r="1448" spans="1:3" x14ac:dyDescent="0.3">
      <c r="A1448" s="7">
        <v>46006</v>
      </c>
      <c r="B1448" s="11">
        <v>253.95984000000001</v>
      </c>
      <c r="C1448" s="11">
        <v>237.27972</v>
      </c>
    </row>
    <row r="1449" spans="1:3" x14ac:dyDescent="0.3">
      <c r="A1449" s="7">
        <v>46007</v>
      </c>
      <c r="B1449" s="11">
        <v>253.95222000000001</v>
      </c>
      <c r="C1449" s="11">
        <v>237.27795</v>
      </c>
    </row>
    <row r="1450" spans="1:3" x14ac:dyDescent="0.3">
      <c r="A1450" s="7">
        <v>46008</v>
      </c>
      <c r="B1450" s="11">
        <v>254.00008</v>
      </c>
      <c r="C1450" s="11">
        <v>237.30483000000001</v>
      </c>
    </row>
    <row r="1451" spans="1:3" x14ac:dyDescent="0.3">
      <c r="A1451" s="7">
        <v>46009</v>
      </c>
      <c r="B1451" s="11">
        <v>254.13865999999999</v>
      </c>
      <c r="C1451" s="11">
        <v>237.35983999999999</v>
      </c>
    </row>
    <row r="1452" spans="1:3" x14ac:dyDescent="0.3">
      <c r="A1452" s="7">
        <v>46010</v>
      </c>
      <c r="B1452" s="11">
        <v>253.97559000000001</v>
      </c>
      <c r="C1452" s="11">
        <v>237.31631999999999</v>
      </c>
    </row>
    <row r="1453" spans="1:3" x14ac:dyDescent="0.3">
      <c r="A1453" s="7">
        <v>46011</v>
      </c>
      <c r="B1453" s="11">
        <v>253.99542</v>
      </c>
      <c r="C1453" s="11">
        <v>237.33363</v>
      </c>
    </row>
    <row r="1454" spans="1:3" x14ac:dyDescent="0.3">
      <c r="A1454" s="7">
        <v>46012</v>
      </c>
      <c r="B1454" s="11">
        <v>254.01541</v>
      </c>
      <c r="C1454" s="11">
        <v>237.35095000000001</v>
      </c>
    </row>
    <row r="1455" spans="1:3" x14ac:dyDescent="0.3">
      <c r="A1455" s="7">
        <v>46013</v>
      </c>
      <c r="B1455" s="11">
        <v>254.10737</v>
      </c>
      <c r="C1455" s="11">
        <v>237.40488999999999</v>
      </c>
    </row>
    <row r="1456" spans="1:3" x14ac:dyDescent="0.3">
      <c r="A1456" s="7">
        <v>46014</v>
      </c>
      <c r="B1456" s="11">
        <v>254.19601</v>
      </c>
      <c r="C1456" s="11">
        <v>237.45389</v>
      </c>
    </row>
    <row r="1457" spans="1:3" x14ac:dyDescent="0.3">
      <c r="A1457" s="7">
        <v>46015</v>
      </c>
      <c r="B1457" s="11">
        <v>254.27234999999999</v>
      </c>
      <c r="C1457" s="11">
        <v>237.48438999999999</v>
      </c>
    </row>
    <row r="1458" spans="1:3" x14ac:dyDescent="0.3">
      <c r="A1458" s="7">
        <v>46016</v>
      </c>
      <c r="B1458" s="11">
        <v>254.29211000000001</v>
      </c>
      <c r="C1458" s="11">
        <v>237.50154000000001</v>
      </c>
    </row>
    <row r="1459" spans="1:3" x14ac:dyDescent="0.3">
      <c r="A1459" s="7">
        <v>46017</v>
      </c>
      <c r="B1459" s="11">
        <v>254.23088999999999</v>
      </c>
      <c r="C1459" s="11">
        <v>237.50110000000001</v>
      </c>
    </row>
    <row r="1460" spans="1:3" x14ac:dyDescent="0.3">
      <c r="A1460" s="7">
        <v>46018</v>
      </c>
      <c r="B1460" s="11">
        <v>254.25074000000001</v>
      </c>
      <c r="C1460" s="11">
        <v>237.51829000000001</v>
      </c>
    </row>
    <row r="1461" spans="1:3" x14ac:dyDescent="0.3">
      <c r="A1461" s="7">
        <v>46019</v>
      </c>
      <c r="B1461" s="11">
        <v>254.27045000000001</v>
      </c>
      <c r="C1461" s="11">
        <v>237.53546</v>
      </c>
    </row>
    <row r="1462" spans="1:3" x14ac:dyDescent="0.3">
      <c r="A1462" s="7">
        <v>46020</v>
      </c>
      <c r="B1462" s="11">
        <v>254.34548000000001</v>
      </c>
      <c r="C1462" s="11">
        <v>237.56689</v>
      </c>
    </row>
    <row r="1463" spans="1:3" x14ac:dyDescent="0.3">
      <c r="A1463" s="7">
        <v>46021</v>
      </c>
      <c r="B1463" s="11">
        <v>254.34110999999999</v>
      </c>
      <c r="C1463" s="11">
        <v>237.57001</v>
      </c>
    </row>
    <row r="1464" spans="1:3" x14ac:dyDescent="0.3">
      <c r="A1464" s="7">
        <v>46022</v>
      </c>
      <c r="B1464" s="11">
        <v>254.36171999999999</v>
      </c>
      <c r="C1464" s="11">
        <v>237.58741000000001</v>
      </c>
    </row>
    <row r="1465" spans="1:3" x14ac:dyDescent="0.3">
      <c r="A1465" s="7">
        <v>46023</v>
      </c>
      <c r="B1465" s="11">
        <v>254.37877</v>
      </c>
      <c r="C1465" s="11">
        <v>237.60462000000001</v>
      </c>
    </row>
    <row r="1466" spans="1:3" x14ac:dyDescent="0.3">
      <c r="A1466" s="7">
        <v>46024</v>
      </c>
      <c r="B1466" s="11">
        <v>254.45319000000001</v>
      </c>
      <c r="C1466" s="11">
        <v>237.66906</v>
      </c>
    </row>
    <row r="1467" spans="1:3" x14ac:dyDescent="0.3">
      <c r="A1467" s="7">
        <v>46025</v>
      </c>
      <c r="B1467" s="11">
        <v>254.46997999999999</v>
      </c>
      <c r="C1467" s="11">
        <v>237.68575000000001</v>
      </c>
    </row>
    <row r="1468" spans="1:3" x14ac:dyDescent="0.3">
      <c r="A1468" s="7">
        <v>46026</v>
      </c>
      <c r="B1468" s="11">
        <v>254.48678000000001</v>
      </c>
      <c r="C1468" s="11">
        <v>237.70242999999999</v>
      </c>
    </row>
    <row r="1469" spans="1:3" x14ac:dyDescent="0.3">
      <c r="A1469" s="7">
        <v>46027</v>
      </c>
      <c r="B1469" s="11">
        <v>254.50156999999999</v>
      </c>
      <c r="C1469" s="11">
        <v>237.73728</v>
      </c>
    </row>
    <row r="1470" spans="1:3" x14ac:dyDescent="0.3">
      <c r="A1470" s="7">
        <v>46028</v>
      </c>
      <c r="B1470" s="11">
        <v>254.48321999999999</v>
      </c>
      <c r="C1470" s="11">
        <v>237.75480999999999</v>
      </c>
    </row>
    <row r="1471" spans="1:3" x14ac:dyDescent="0.3">
      <c r="A1471" s="7">
        <v>46029</v>
      </c>
      <c r="B1471" s="11">
        <v>254.65092999999999</v>
      </c>
      <c r="C1471" s="11">
        <v>237.81921</v>
      </c>
    </row>
    <row r="1472" spans="1:3" x14ac:dyDescent="0.3">
      <c r="A1472" s="7">
        <v>46030</v>
      </c>
      <c r="B1472" s="11">
        <v>254.69845000000001</v>
      </c>
      <c r="C1472" s="11">
        <v>237.84227999999999</v>
      </c>
    </row>
    <row r="1473" spans="1:3" x14ac:dyDescent="0.3">
      <c r="A1473" s="7">
        <v>46031</v>
      </c>
      <c r="B1473" s="11">
        <v>254.61546000000001</v>
      </c>
      <c r="C1473" s="11">
        <v>237.83222000000001</v>
      </c>
    </row>
    <row r="1474" spans="1:3" x14ac:dyDescent="0.3">
      <c r="A1474" s="7">
        <v>46032</v>
      </c>
      <c r="B1474" s="11">
        <v>254.63219000000001</v>
      </c>
      <c r="C1474" s="11">
        <v>237.84871000000001</v>
      </c>
    </row>
    <row r="1475" spans="1:3" x14ac:dyDescent="0.3">
      <c r="A1475" s="7">
        <v>46033</v>
      </c>
      <c r="B1475" s="11">
        <v>254.64893000000001</v>
      </c>
      <c r="C1475" s="11">
        <v>237.86520999999999</v>
      </c>
    </row>
    <row r="1476" spans="1:3" x14ac:dyDescent="0.3">
      <c r="A1476" s="7">
        <v>46034</v>
      </c>
      <c r="B1476" s="11">
        <v>254.60753</v>
      </c>
      <c r="C1476" s="11">
        <v>237.86770999999999</v>
      </c>
    </row>
    <row r="1477" spans="1:3" x14ac:dyDescent="0.3">
      <c r="A1477" s="7">
        <v>46035</v>
      </c>
      <c r="B1477" s="11">
        <v>254.57981000000001</v>
      </c>
      <c r="C1477" s="11">
        <v>237.87607</v>
      </c>
    </row>
    <row r="1478" spans="1:3" x14ac:dyDescent="0.3">
      <c r="A1478" s="7">
        <v>46036</v>
      </c>
      <c r="B1478" s="11">
        <v>254.62655000000001</v>
      </c>
      <c r="C1478" s="11">
        <v>237.90436</v>
      </c>
    </row>
    <row r="1479" spans="1:3" x14ac:dyDescent="0.3">
      <c r="A1479" s="7">
        <v>46037</v>
      </c>
      <c r="B1479" s="11">
        <v>254.34386000000001</v>
      </c>
      <c r="C1479" s="11">
        <v>237.8244</v>
      </c>
    </row>
    <row r="1480" spans="1:3" x14ac:dyDescent="0.3">
      <c r="A1480" s="7">
        <v>46038</v>
      </c>
      <c r="B1480" s="11">
        <v>254.35794999999999</v>
      </c>
      <c r="C1480" s="11">
        <v>237.83886000000001</v>
      </c>
    </row>
    <row r="1481" spans="1:3" x14ac:dyDescent="0.3">
      <c r="A1481" s="7">
        <v>46039</v>
      </c>
      <c r="B1481" s="11">
        <v>254.37495999999999</v>
      </c>
      <c r="C1481" s="11">
        <v>237.85556</v>
      </c>
    </row>
    <row r="1482" spans="1:3" x14ac:dyDescent="0.3">
      <c r="A1482" s="7">
        <v>46040</v>
      </c>
      <c r="B1482" s="11">
        <v>254.39212000000001</v>
      </c>
      <c r="C1482" s="11">
        <v>237.87226999999999</v>
      </c>
    </row>
    <row r="1483" spans="1:3" x14ac:dyDescent="0.3">
      <c r="A1483" s="7">
        <v>46041</v>
      </c>
      <c r="B1483" s="11">
        <v>254.22820999999999</v>
      </c>
      <c r="C1483" s="11">
        <v>237.83915999999999</v>
      </c>
    </row>
    <row r="1484" spans="1:3" x14ac:dyDescent="0.3">
      <c r="A1484" s="7">
        <v>46042</v>
      </c>
      <c r="B1484" s="11">
        <v>254.08362</v>
      </c>
      <c r="C1484" s="11">
        <v>237.81901999999999</v>
      </c>
    </row>
    <row r="1485" spans="1:3" x14ac:dyDescent="0.3">
      <c r="A1485" s="7">
        <v>46043</v>
      </c>
      <c r="B1485" s="11">
        <v>254.25989000000001</v>
      </c>
      <c r="C1485" s="11">
        <v>237.87001000000001</v>
      </c>
    </row>
    <row r="1486" spans="1:3" x14ac:dyDescent="0.3">
      <c r="A1486" s="7">
        <v>46044</v>
      </c>
      <c r="B1486" s="11">
        <v>254.38215</v>
      </c>
      <c r="C1486" s="11">
        <v>237.90364</v>
      </c>
    </row>
    <row r="1487" spans="1:3" x14ac:dyDescent="0.3">
      <c r="A1487" s="7">
        <v>46045</v>
      </c>
      <c r="B1487" s="11">
        <v>254.25738000000001</v>
      </c>
      <c r="C1487" s="11">
        <v>237.86159000000001</v>
      </c>
    </row>
    <row r="1488" spans="1:3" x14ac:dyDescent="0.3">
      <c r="A1488" s="7">
        <v>46046</v>
      </c>
      <c r="B1488" s="11">
        <v>254.27483000000001</v>
      </c>
      <c r="C1488" s="11">
        <v>237.87851000000001</v>
      </c>
    </row>
    <row r="1489" spans="1:3" x14ac:dyDescent="0.3">
      <c r="A1489" s="7">
        <v>46047</v>
      </c>
      <c r="B1489" s="11">
        <v>254.29227</v>
      </c>
      <c r="C1489" s="11">
        <v>237.89545000000001</v>
      </c>
    </row>
    <row r="1490" spans="1:3" x14ac:dyDescent="0.3">
      <c r="A1490" s="7">
        <v>46048</v>
      </c>
      <c r="B1490" s="11">
        <v>254.40571</v>
      </c>
      <c r="C1490" s="11">
        <v>237.92032</v>
      </c>
    </row>
    <row r="1491" spans="1:3" x14ac:dyDescent="0.3">
      <c r="A1491" s="7">
        <v>46049</v>
      </c>
      <c r="B1491" s="11">
        <v>254.411</v>
      </c>
      <c r="C1491" s="11">
        <v>237.91559000000001</v>
      </c>
    </row>
    <row r="1492" spans="1:3" x14ac:dyDescent="0.3">
      <c r="A1492" s="7">
        <v>46050</v>
      </c>
      <c r="B1492" s="11">
        <v>254.49173999999999</v>
      </c>
      <c r="C1492" s="11">
        <v>237.93298999999999</v>
      </c>
    </row>
    <row r="1493" spans="1:3" x14ac:dyDescent="0.3">
      <c r="A1493" s="7">
        <v>46051</v>
      </c>
      <c r="B1493" s="11">
        <v>254.34577999999999</v>
      </c>
      <c r="C1493" s="11">
        <v>237.89049</v>
      </c>
    </row>
    <row r="1494" spans="1:3" x14ac:dyDescent="0.3">
      <c r="A1494" s="7">
        <v>46052</v>
      </c>
      <c r="B1494" s="11">
        <v>254.21447000000001</v>
      </c>
      <c r="C1494" s="11">
        <v>237.85755</v>
      </c>
    </row>
    <row r="1495" spans="1:3" x14ac:dyDescent="0.3">
      <c r="A1495" s="7">
        <v>46053</v>
      </c>
      <c r="B1495" s="11">
        <v>254.23221000000001</v>
      </c>
      <c r="C1495" s="11">
        <v>237.87485000000001</v>
      </c>
    </row>
    <row r="1496" spans="1:3" x14ac:dyDescent="0.3">
      <c r="A1496" s="7">
        <v>46054</v>
      </c>
      <c r="B1496" s="11">
        <v>254.25275999999999</v>
      </c>
      <c r="C1496" s="11">
        <v>237.89214000000001</v>
      </c>
    </row>
    <row r="1497" spans="1:3" x14ac:dyDescent="0.3">
      <c r="A1497" s="7">
        <v>46055</v>
      </c>
      <c r="B1497" s="11">
        <v>254.2099</v>
      </c>
      <c r="C1497" s="11">
        <v>237.87803</v>
      </c>
    </row>
    <row r="1498" spans="1:3" x14ac:dyDescent="0.3">
      <c r="A1498" s="7">
        <v>46056</v>
      </c>
      <c r="B1498" s="11">
        <v>254.06063</v>
      </c>
      <c r="C1498" s="11">
        <v>237.82527999999999</v>
      </c>
    </row>
    <row r="1499" spans="1:3" x14ac:dyDescent="0.3">
      <c r="A1499" s="7">
        <v>46057</v>
      </c>
      <c r="B1499" s="11">
        <v>253.94933</v>
      </c>
      <c r="C1499" s="11">
        <v>237.79216</v>
      </c>
    </row>
    <row r="1500" spans="1:3" x14ac:dyDescent="0.3">
      <c r="A1500" s="7">
        <v>46058</v>
      </c>
      <c r="B1500" s="11">
        <v>254.02804</v>
      </c>
      <c r="C1500" s="11">
        <v>237.81698</v>
      </c>
    </row>
    <row r="1501" spans="1:3" x14ac:dyDescent="0.3">
      <c r="A1501" s="7">
        <v>46059</v>
      </c>
      <c r="B1501" s="11">
        <v>253.93173999999999</v>
      </c>
      <c r="C1501" s="11">
        <v>237.78429</v>
      </c>
    </row>
    <row r="1502" spans="1:3" x14ac:dyDescent="0.3">
      <c r="A1502" s="7">
        <v>46060</v>
      </c>
      <c r="B1502" s="11">
        <v>253.95236</v>
      </c>
      <c r="C1502" s="11">
        <v>237.80215999999999</v>
      </c>
    </row>
    <row r="1503" spans="1:3" x14ac:dyDescent="0.3">
      <c r="A1503" s="7">
        <v>46061</v>
      </c>
      <c r="B1503" s="11">
        <v>253.97299000000001</v>
      </c>
      <c r="C1503" s="11">
        <v>237.82004000000001</v>
      </c>
    </row>
    <row r="1504" spans="1:3" x14ac:dyDescent="0.3">
      <c r="A1504" s="7">
        <v>46062</v>
      </c>
      <c r="B1504" s="11">
        <v>253.96077</v>
      </c>
      <c r="C1504" s="11">
        <v>237.83501000000001</v>
      </c>
    </row>
    <row r="1505" spans="1:3" x14ac:dyDescent="0.3">
      <c r="A1505" s="7">
        <v>46063</v>
      </c>
      <c r="B1505" s="11">
        <v>254.17976999999999</v>
      </c>
      <c r="C1505" s="11">
        <v>237.90576999999999</v>
      </c>
    </row>
    <row r="1506" spans="1:3" x14ac:dyDescent="0.3">
      <c r="A1506" s="7">
        <v>46064</v>
      </c>
      <c r="B1506" s="11">
        <v>254.28607</v>
      </c>
      <c r="C1506" s="11">
        <v>237.94754</v>
      </c>
    </row>
    <row r="1507" spans="1:3" x14ac:dyDescent="0.3">
      <c r="A1507" s="7">
        <v>46065</v>
      </c>
      <c r="B1507" s="11">
        <v>254.4511</v>
      </c>
      <c r="C1507" s="11">
        <v>238.02047999999999</v>
      </c>
    </row>
    <row r="1508" spans="1:3" x14ac:dyDescent="0.3">
      <c r="A1508" s="7">
        <v>46066</v>
      </c>
      <c r="B1508" s="11">
        <v>254.52869999999999</v>
      </c>
      <c r="C1508" s="11">
        <v>238.06748999999999</v>
      </c>
    </row>
    <row r="1509" spans="1:3" x14ac:dyDescent="0.3">
      <c r="A1509" s="7">
        <v>46067</v>
      </c>
      <c r="B1509" s="11">
        <v>254.54882000000001</v>
      </c>
      <c r="C1509" s="11">
        <v>238.08510000000001</v>
      </c>
    </row>
    <row r="1510" spans="1:3" x14ac:dyDescent="0.3">
      <c r="A1510" s="7">
        <v>46068</v>
      </c>
      <c r="B1510" s="11">
        <v>254.56895</v>
      </c>
      <c r="C1510" s="11">
        <v>238.10271</v>
      </c>
    </row>
    <row r="1511" spans="1:3" x14ac:dyDescent="0.3">
      <c r="A1511" s="7">
        <v>46069</v>
      </c>
      <c r="B1511" s="11">
        <v>254.58909</v>
      </c>
      <c r="C1511" s="11">
        <v>238.12031999999999</v>
      </c>
    </row>
    <row r="1512" spans="1:3" x14ac:dyDescent="0.3">
      <c r="A1512" s="7">
        <v>46070</v>
      </c>
      <c r="B1512" s="11">
        <v>254.60921999999999</v>
      </c>
      <c r="C1512" s="11">
        <v>238.13793999999999</v>
      </c>
    </row>
    <row r="1513" spans="1:3" x14ac:dyDescent="0.3">
      <c r="A1513" s="7">
        <v>46071</v>
      </c>
      <c r="B1513" s="11">
        <v>254.62935999999999</v>
      </c>
      <c r="C1513" s="11">
        <v>238.15556000000001</v>
      </c>
    </row>
    <row r="1514" spans="1:3" x14ac:dyDescent="0.3">
      <c r="A1514" s="7">
        <v>46072</v>
      </c>
      <c r="B1514" s="11">
        <v>254.54873000000001</v>
      </c>
      <c r="C1514" s="11">
        <v>238.15726000000001</v>
      </c>
    </row>
    <row r="1515" spans="1:3" x14ac:dyDescent="0.3">
      <c r="A1515" s="7">
        <v>46073</v>
      </c>
      <c r="B1515" s="11">
        <v>254.70174</v>
      </c>
      <c r="C1515" s="11">
        <v>238.2193</v>
      </c>
    </row>
    <row r="1516" spans="1:3" x14ac:dyDescent="0.3">
      <c r="A1516" s="7">
        <v>46074</v>
      </c>
      <c r="B1516" s="11">
        <v>254.72185999999999</v>
      </c>
      <c r="C1516" s="11">
        <v>238.23685</v>
      </c>
    </row>
    <row r="1517" spans="1:3" x14ac:dyDescent="0.3">
      <c r="A1517" s="7">
        <v>46075</v>
      </c>
      <c r="B1517" s="11">
        <v>254.74198000000001</v>
      </c>
      <c r="C1517" s="11">
        <v>238.25443000000001</v>
      </c>
    </row>
    <row r="1518" spans="1:3" x14ac:dyDescent="0.3">
      <c r="A1518" s="7">
        <v>46076</v>
      </c>
      <c r="B1518" s="11">
        <v>254.73313999999999</v>
      </c>
      <c r="C1518" s="11">
        <v>238.27387999999999</v>
      </c>
    </row>
    <row r="1519" spans="1:3" x14ac:dyDescent="0.3">
      <c r="A1519" s="7">
        <v>46077</v>
      </c>
      <c r="B1519" s="11">
        <v>254.75808000000001</v>
      </c>
      <c r="C1519" s="11">
        <v>238.29361</v>
      </c>
    </row>
    <row r="1520" spans="1:3" x14ac:dyDescent="0.3">
      <c r="A1520" s="7">
        <v>46078</v>
      </c>
      <c r="B1520" s="11">
        <v>254.88605999999999</v>
      </c>
      <c r="C1520" s="11">
        <v>238.34768</v>
      </c>
    </row>
    <row r="1521" spans="1:3" x14ac:dyDescent="0.3">
      <c r="A1521" s="7">
        <v>46079</v>
      </c>
      <c r="B1521" s="11">
        <v>255.10255000000001</v>
      </c>
      <c r="C1521" s="11">
        <v>238.41533000000001</v>
      </c>
    </row>
    <row r="1522" spans="1:3" x14ac:dyDescent="0.3">
      <c r="A1522" s="7">
        <v>46080</v>
      </c>
      <c r="B1522" s="11">
        <v>255.20845</v>
      </c>
      <c r="C1522" s="11">
        <v>238.45487</v>
      </c>
    </row>
    <row r="1523" spans="1:3" x14ac:dyDescent="0.3">
      <c r="A1523" s="7">
        <v>46081</v>
      </c>
      <c r="B1523" s="11">
        <v>255.22821999999999</v>
      </c>
      <c r="C1523" s="11">
        <v>238.47229999999999</v>
      </c>
    </row>
    <row r="1524" spans="1:3" x14ac:dyDescent="0.3">
      <c r="A1524" s="7">
        <v>46082</v>
      </c>
      <c r="B1524" s="11">
        <v>255.24798999999999</v>
      </c>
      <c r="C1524" s="11">
        <v>238.48973000000001</v>
      </c>
    </row>
    <row r="1525" spans="1:3" x14ac:dyDescent="0.3">
      <c r="A1525" s="7">
        <v>46083</v>
      </c>
      <c r="B1525" s="11">
        <v>255.26777000000001</v>
      </c>
      <c r="C1525" s="11">
        <v>238.50716</v>
      </c>
    </row>
    <row r="1526" spans="1:3" x14ac:dyDescent="0.3">
      <c r="A1526" s="7">
        <v>46084</v>
      </c>
      <c r="B1526" s="11">
        <v>254.69489999999999</v>
      </c>
      <c r="C1526" s="11">
        <v>238.33851999999999</v>
      </c>
    </row>
    <row r="1527" spans="1:3" x14ac:dyDescent="0.3">
      <c r="A1527" s="7">
        <v>46085</v>
      </c>
      <c r="B1527" s="11">
        <v>254.55600999999999</v>
      </c>
      <c r="C1527" s="11">
        <v>238.31622999999999</v>
      </c>
    </row>
    <row r="1528" spans="1:3" x14ac:dyDescent="0.3">
      <c r="A1528" s="7">
        <v>46086</v>
      </c>
      <c r="B1528" s="11">
        <v>254.75412</v>
      </c>
      <c r="C1528" s="11">
        <v>238.38876999999999</v>
      </c>
    </row>
    <row r="1529" spans="1:3" x14ac:dyDescent="0.3">
      <c r="A1529" s="7">
        <v>46087</v>
      </c>
      <c r="B1529" s="11">
        <v>254.63082</v>
      </c>
      <c r="C1529" s="11">
        <v>238.36933999999999</v>
      </c>
    </row>
    <row r="1530" spans="1:3" x14ac:dyDescent="0.3">
      <c r="A1530" s="7">
        <v>46088</v>
      </c>
      <c r="B1530" s="11">
        <v>254.65152</v>
      </c>
      <c r="C1530" s="11">
        <v>238.38732999999999</v>
      </c>
    </row>
    <row r="1531" spans="1:3" x14ac:dyDescent="0.3">
      <c r="A1531" s="7">
        <v>46089</v>
      </c>
      <c r="B1531" s="11">
        <v>254.67221000000001</v>
      </c>
      <c r="C1531" s="11">
        <v>238.40530999999999</v>
      </c>
    </row>
    <row r="1532" spans="1:3" x14ac:dyDescent="0.3">
      <c r="A1532" s="7">
        <v>46090</v>
      </c>
      <c r="B1532" s="11">
        <v>254.02213</v>
      </c>
      <c r="C1532" s="11">
        <v>238.21274</v>
      </c>
    </row>
    <row r="1533" spans="1:3" x14ac:dyDescent="0.3">
      <c r="A1533" s="7">
        <v>46091</v>
      </c>
      <c r="B1533" s="11">
        <v>254.53567000000001</v>
      </c>
      <c r="C1533" s="11">
        <v>238.39552</v>
      </c>
    </row>
    <row r="1534" spans="1:3" x14ac:dyDescent="0.3">
      <c r="A1534" s="7">
        <v>46092</v>
      </c>
      <c r="B1534" s="11">
        <v>254.65765999999999</v>
      </c>
      <c r="C1534" s="11">
        <v>238.43299999999999</v>
      </c>
    </row>
    <row r="1535" spans="1:3" x14ac:dyDescent="0.3">
      <c r="A1535" s="7">
        <v>46093</v>
      </c>
      <c r="B1535" s="11">
        <v>254.62372999999999</v>
      </c>
      <c r="C1535" s="11">
        <v>238.43385000000001</v>
      </c>
    </row>
    <row r="1536" spans="1:3" x14ac:dyDescent="0.3">
      <c r="A1536" s="7">
        <v>46094</v>
      </c>
      <c r="B1536" s="11">
        <v>254.39735999999999</v>
      </c>
      <c r="C1536" s="11">
        <v>238.37743</v>
      </c>
    </row>
    <row r="1537" spans="1:3" x14ac:dyDescent="0.3">
      <c r="A1537" s="7">
        <v>46095</v>
      </c>
      <c r="B1537" s="11">
        <v>254.41827000000001</v>
      </c>
      <c r="C1537" s="11">
        <v>238.39556999999999</v>
      </c>
    </row>
    <row r="1538" spans="1:3" x14ac:dyDescent="0.3">
      <c r="A1538" s="7">
        <v>46096</v>
      </c>
      <c r="B1538" s="11">
        <v>254.43915999999999</v>
      </c>
      <c r="C1538" s="11">
        <v>238.41371000000001</v>
      </c>
    </row>
    <row r="1539" spans="1:3" x14ac:dyDescent="0.3">
      <c r="A1539" s="7">
        <v>46097</v>
      </c>
      <c r="B1539" s="11">
        <v>254.54891000000001</v>
      </c>
      <c r="C1539" s="11">
        <v>238.46815000000001</v>
      </c>
    </row>
    <row r="1540" spans="1:3" x14ac:dyDescent="0.3">
      <c r="A1540" s="7">
        <v>46098</v>
      </c>
      <c r="B1540" s="11">
        <v>254.52063999999999</v>
      </c>
      <c r="C1540" s="11">
        <v>238.46956</v>
      </c>
    </row>
    <row r="1541" spans="1:3" x14ac:dyDescent="0.3">
      <c r="A1541" s="7">
        <v>46099</v>
      </c>
      <c r="B1541" s="11">
        <v>254.73824999999999</v>
      </c>
      <c r="C1541" s="11">
        <v>238.53604999999999</v>
      </c>
    </row>
    <row r="1542" spans="1:3" x14ac:dyDescent="0.3">
      <c r="A1542" s="7">
        <v>46100</v>
      </c>
      <c r="B1542" s="11">
        <v>254.50542999999999</v>
      </c>
      <c r="C1542" s="11">
        <v>238.47424000000001</v>
      </c>
    </row>
    <row r="1543" spans="1:3" x14ac:dyDescent="0.3">
      <c r="A1543" s="7">
        <v>46101</v>
      </c>
      <c r="B1543" s="11">
        <v>254.18764999999999</v>
      </c>
      <c r="C1543" s="11">
        <v>238.35195999999999</v>
      </c>
    </row>
    <row r="1544" spans="1:3" x14ac:dyDescent="0.3">
      <c r="A1544" s="7">
        <v>46102</v>
      </c>
      <c r="B1544" s="11">
        <v>254.20899</v>
      </c>
      <c r="C1544" s="11">
        <v>238.37036000000001</v>
      </c>
    </row>
    <row r="1545" spans="1:3" x14ac:dyDescent="0.3">
      <c r="A1545" s="7">
        <v>46103</v>
      </c>
      <c r="B1545" s="11">
        <v>254.23034000000001</v>
      </c>
      <c r="C1545" s="11">
        <v>238.38876999999999</v>
      </c>
    </row>
    <row r="1546" spans="1:3" x14ac:dyDescent="0.3">
      <c r="A1546" s="7">
        <v>46104</v>
      </c>
      <c r="B1546" s="11">
        <v>253.43487999999999</v>
      </c>
      <c r="C1546" s="11">
        <v>238.15567999999999</v>
      </c>
    </row>
    <row r="1547" spans="1:3" x14ac:dyDescent="0.3">
      <c r="A1547" s="7">
        <v>46105</v>
      </c>
      <c r="B1547" s="11">
        <v>253.76714999999999</v>
      </c>
      <c r="C1547" s="11">
        <v>238.23854</v>
      </c>
    </row>
    <row r="1548" spans="1:3" x14ac:dyDescent="0.3">
      <c r="A1548" s="7">
        <v>46106</v>
      </c>
      <c r="B1548" s="11">
        <v>253.68066999999999</v>
      </c>
      <c r="C1548" s="11">
        <v>238.20381</v>
      </c>
    </row>
    <row r="1549" spans="1:3" x14ac:dyDescent="0.3">
      <c r="A1549" s="7">
        <v>46107</v>
      </c>
      <c r="B1549" s="11">
        <v>253.71684999999999</v>
      </c>
      <c r="C1549" s="11">
        <v>238.19583</v>
      </c>
    </row>
    <row r="1550" spans="1:3" x14ac:dyDescent="0.3">
      <c r="A1550" s="7">
        <v>46108</v>
      </c>
      <c r="B1550" s="11">
        <v>253.54723000000001</v>
      </c>
      <c r="C1550" s="11">
        <v>238.13763</v>
      </c>
    </row>
    <row r="1551" spans="1:3" x14ac:dyDescent="0.3">
      <c r="A1551" s="7">
        <v>46109</v>
      </c>
      <c r="B1551" s="11">
        <v>253.56960000000001</v>
      </c>
      <c r="C1551" s="11">
        <v>238.15673000000001</v>
      </c>
    </row>
    <row r="1552" spans="1:3" x14ac:dyDescent="0.3">
      <c r="A1552" s="7">
        <v>46110</v>
      </c>
      <c r="B1552" s="11">
        <v>253.59197</v>
      </c>
      <c r="C1552" s="11">
        <v>238.17582999999999</v>
      </c>
    </row>
    <row r="1553" spans="1:3" x14ac:dyDescent="0.3">
      <c r="A1553" s="7">
        <v>46111</v>
      </c>
      <c r="B1553" s="11">
        <v>253.77038999999999</v>
      </c>
      <c r="C1553" s="11">
        <v>238.24525</v>
      </c>
    </row>
    <row r="1554" spans="1:3" x14ac:dyDescent="0.3">
      <c r="A1554" s="7">
        <v>46112</v>
      </c>
      <c r="B1554" s="11">
        <v>253.77348000000001</v>
      </c>
      <c r="C1554" s="11">
        <v>238.24180999999999</v>
      </c>
    </row>
    <row r="1555" spans="1:3" x14ac:dyDescent="0.3">
      <c r="A1555" s="7">
        <v>46113</v>
      </c>
      <c r="B1555" s="11">
        <v>254.51459</v>
      </c>
      <c r="C1555" s="11">
        <v>238.48815999999999</v>
      </c>
    </row>
    <row r="1556" spans="1:3" x14ac:dyDescent="0.3">
      <c r="A1556" s="7">
        <v>46114</v>
      </c>
      <c r="B1556" s="11">
        <v>254.1463</v>
      </c>
      <c r="C1556" s="11">
        <v>238.39796999999999</v>
      </c>
    </row>
    <row r="1557" spans="1:3" x14ac:dyDescent="0.3">
      <c r="A1557" s="7">
        <v>46115</v>
      </c>
      <c r="B1557" s="11">
        <v>254.30635000000001</v>
      </c>
      <c r="C1557" s="11">
        <v>238.46839</v>
      </c>
    </row>
    <row r="1558" spans="1:3" x14ac:dyDescent="0.3">
      <c r="A1558" s="7">
        <v>46116</v>
      </c>
      <c r="B1558" s="11">
        <v>254.32817</v>
      </c>
      <c r="C1558" s="11">
        <v>238.48749000000001</v>
      </c>
    </row>
    <row r="1559" spans="1:3" x14ac:dyDescent="0.3">
      <c r="A1559" s="7">
        <v>46117</v>
      </c>
      <c r="B1559" s="11">
        <v>254.34998999999999</v>
      </c>
      <c r="C1559" s="11">
        <v>238.50656000000001</v>
      </c>
    </row>
    <row r="1560" spans="1:3" x14ac:dyDescent="0.3">
      <c r="A1560" s="7">
        <v>46118</v>
      </c>
      <c r="B1560" s="11">
        <v>254.45643000000001</v>
      </c>
      <c r="C1560" s="11">
        <v>238.55871999999999</v>
      </c>
    </row>
    <row r="1561" spans="1:3" x14ac:dyDescent="0.3">
      <c r="A1561" s="7">
        <v>46119</v>
      </c>
      <c r="B1561" s="11">
        <v>254.44105999999999</v>
      </c>
      <c r="C1561" s="11">
        <v>238.58058</v>
      </c>
    </row>
    <row r="1562" spans="1:3" x14ac:dyDescent="0.3">
      <c r="A1562" s="7">
        <v>46120</v>
      </c>
      <c r="B1562" s="11">
        <v>254.98096000000001</v>
      </c>
      <c r="C1562" s="11">
        <v>238.79578000000001</v>
      </c>
    </row>
    <row r="1563" spans="1:3" x14ac:dyDescent="0.3">
      <c r="A1563" s="7">
        <v>46121</v>
      </c>
      <c r="B1563" s="11">
        <v>254.96793</v>
      </c>
      <c r="C1563" s="11">
        <v>238.79913999999999</v>
      </c>
    </row>
    <row r="1564" spans="1:3" x14ac:dyDescent="0.3">
      <c r="A1564" s="7">
        <v>46122</v>
      </c>
      <c r="B1564" s="11">
        <v>254.88882000000001</v>
      </c>
      <c r="C1564" s="11">
        <v>238.79101</v>
      </c>
    </row>
    <row r="1565" spans="1:3" x14ac:dyDescent="0.3">
      <c r="A1565" s="7">
        <v>46123</v>
      </c>
      <c r="B1565" s="11">
        <v>254.91012000000001</v>
      </c>
      <c r="C1565" s="11">
        <v>238.80975000000001</v>
      </c>
    </row>
    <row r="1566" spans="1:3" x14ac:dyDescent="0.3">
      <c r="A1566" s="7">
        <v>46124</v>
      </c>
      <c r="B1566" s="11">
        <v>254.93143000000001</v>
      </c>
      <c r="C1566" s="11">
        <v>238.82846000000001</v>
      </c>
    </row>
    <row r="1567" spans="1:3" x14ac:dyDescent="0.3">
      <c r="A1567" s="7">
        <v>46125</v>
      </c>
      <c r="B1567" s="11">
        <v>254.85774000000001</v>
      </c>
      <c r="C1567" s="11">
        <v>238.82378</v>
      </c>
    </row>
    <row r="1568" spans="1:3" x14ac:dyDescent="0.3">
      <c r="A1568" s="7">
        <v>46126</v>
      </c>
      <c r="B1568" s="11">
        <v>255.03097</v>
      </c>
      <c r="C1568" s="11">
        <v>238.89625000000001</v>
      </c>
    </row>
    <row r="1569" spans="1:3" x14ac:dyDescent="0.3">
      <c r="A1569" s="7">
        <v>46127</v>
      </c>
      <c r="B1569" s="11">
        <v>255.06053</v>
      </c>
      <c r="C1569" s="11">
        <v>238.92381</v>
      </c>
    </row>
    <row r="1570" spans="1:3" x14ac:dyDescent="0.3">
      <c r="A1570" s="7">
        <v>46128</v>
      </c>
      <c r="B1570" s="11">
        <v>255.05716000000001</v>
      </c>
      <c r="C1570" s="11">
        <v>238.94206</v>
      </c>
    </row>
    <row r="1571" spans="1:3" x14ac:dyDescent="0.3">
      <c r="A1571" s="7">
        <v>46129</v>
      </c>
      <c r="B1571" s="11">
        <v>254.96543</v>
      </c>
      <c r="C1571" s="11">
        <v>238.93315000000001</v>
      </c>
    </row>
    <row r="1572" spans="1:3" x14ac:dyDescent="0.3">
      <c r="A1572" s="7">
        <v>46130</v>
      </c>
      <c r="B1572" s="11">
        <v>254.98678000000001</v>
      </c>
      <c r="C1572" s="11">
        <v>238.95183</v>
      </c>
    </row>
    <row r="1573" spans="1:3" x14ac:dyDescent="0.3">
      <c r="A1573" s="7">
        <v>46131</v>
      </c>
      <c r="B1573" s="11">
        <v>255.00814</v>
      </c>
      <c r="C1573" s="11">
        <v>238.97053</v>
      </c>
    </row>
    <row r="1574" spans="1:3" x14ac:dyDescent="0.3">
      <c r="A1574" s="7">
        <v>46132</v>
      </c>
      <c r="B1574" s="11">
        <v>255.10015999999999</v>
      </c>
      <c r="C1574" s="11">
        <v>239.01061000000001</v>
      </c>
    </row>
    <row r="1575" spans="1:3" x14ac:dyDescent="0.3">
      <c r="A1575" s="7">
        <v>46133</v>
      </c>
      <c r="B1575" s="11">
        <v>255.17026999999999</v>
      </c>
      <c r="C1575" s="11">
        <v>239.03980999999999</v>
      </c>
    </row>
    <row r="1576" spans="1:3" x14ac:dyDescent="0.3">
      <c r="A1576" s="7">
        <v>46134</v>
      </c>
      <c r="B1576" s="11">
        <v>255.08532</v>
      </c>
      <c r="C1576" s="11">
        <v>239.03245000000001</v>
      </c>
    </row>
    <row r="1577" spans="1:3" x14ac:dyDescent="0.3">
      <c r="A1577" s="7">
        <v>46135</v>
      </c>
      <c r="B1577" s="11">
        <v>254.77682999999999</v>
      </c>
      <c r="C1577" s="11">
        <v>238.95542</v>
      </c>
    </row>
    <row r="1578" spans="1:3" x14ac:dyDescent="0.3">
      <c r="A1578" s="7">
        <v>46136</v>
      </c>
      <c r="B1578" s="11">
        <v>254.64534</v>
      </c>
      <c r="C1578" s="11">
        <v>238.92742000000001</v>
      </c>
    </row>
    <row r="1579" spans="1:3" x14ac:dyDescent="0.3">
      <c r="A1579" s="7">
        <v>46137</v>
      </c>
      <c r="B1579" s="11">
        <v>254.66723999999999</v>
      </c>
      <c r="C1579" s="11">
        <v>238.94631000000001</v>
      </c>
    </row>
    <row r="1580" spans="1:3" x14ac:dyDescent="0.3">
      <c r="A1580" s="7">
        <v>46138</v>
      </c>
      <c r="B1580" s="11">
        <v>254.68914000000001</v>
      </c>
      <c r="C1580" s="11">
        <v>238.96518</v>
      </c>
    </row>
    <row r="1581" spans="1:3" x14ac:dyDescent="0.3">
      <c r="A1581" s="7">
        <v>46139</v>
      </c>
      <c r="B1581" s="11">
        <v>254.72794999999999</v>
      </c>
      <c r="C1581" s="11">
        <v>238.99854999999999</v>
      </c>
    </row>
    <row r="1582" spans="1:3" x14ac:dyDescent="0.3">
      <c r="A1582" s="7">
        <v>46140</v>
      </c>
      <c r="B1582" s="11">
        <v>254.63730000000001</v>
      </c>
      <c r="C1582" s="11">
        <v>238.98728</v>
      </c>
    </row>
    <row r="1583" spans="1:3" x14ac:dyDescent="0.3">
      <c r="A1583" s="7">
        <v>46141</v>
      </c>
      <c r="B1583" s="11">
        <v>254.68002999999999</v>
      </c>
      <c r="C1583" s="11">
        <v>239.00936999999999</v>
      </c>
    </row>
    <row r="1584" spans="1:3" x14ac:dyDescent="0.3">
      <c r="A1584" s="7">
        <v>46142</v>
      </c>
      <c r="B1584" s="11">
        <v>254.44386</v>
      </c>
      <c r="C1584" s="11">
        <v>238.94739999999999</v>
      </c>
    </row>
    <row r="1585" spans="1:3" x14ac:dyDescent="0.3">
      <c r="A1585" s="7">
        <v>46143</v>
      </c>
      <c r="B1585" s="11">
        <v>254.46611999999999</v>
      </c>
      <c r="C1585" s="11">
        <v>238.96638999999999</v>
      </c>
    </row>
    <row r="1586" spans="1:3" x14ac:dyDescent="0.3">
      <c r="A1586" s="7">
        <v>46144</v>
      </c>
      <c r="B1586" s="11">
        <v>254.48838000000001</v>
      </c>
      <c r="C1586" s="11">
        <v>238.98536999999999</v>
      </c>
    </row>
    <row r="1587" spans="1:3" x14ac:dyDescent="0.3">
      <c r="A1587" s="7">
        <v>46145</v>
      </c>
      <c r="B1587" s="11">
        <v>254.51065</v>
      </c>
      <c r="C1587" s="11">
        <v>239.00433000000001</v>
      </c>
    </row>
    <row r="1588" spans="1:3" x14ac:dyDescent="0.3">
      <c r="A1588" s="7">
        <v>46146</v>
      </c>
      <c r="B1588" s="11">
        <v>254.46154999999999</v>
      </c>
      <c r="C1588" s="11">
        <v>239.00649000000001</v>
      </c>
    </row>
    <row r="1589" spans="1:3" x14ac:dyDescent="0.3">
      <c r="A1589" s="7">
        <v>46147</v>
      </c>
      <c r="B1589" s="11">
        <v>254.48415</v>
      </c>
      <c r="C1589" s="11">
        <v>239.02555000000001</v>
      </c>
    </row>
    <row r="1590" spans="1:3" x14ac:dyDescent="0.3">
      <c r="A1590" s="7">
        <v>46148</v>
      </c>
      <c r="B1590" s="11">
        <v>254.57933</v>
      </c>
      <c r="C1590" s="11">
        <v>239.07356999999999</v>
      </c>
    </row>
    <row r="1591" spans="1:3" x14ac:dyDescent="0.3">
      <c r="A1591" s="7">
        <v>46149</v>
      </c>
      <c r="B1591" s="11">
        <v>254.86064999999999</v>
      </c>
      <c r="C1591" s="11">
        <v>239.17479</v>
      </c>
    </row>
    <row r="1592" spans="1:3" x14ac:dyDescent="0.3">
      <c r="A1592" s="7">
        <v>46150</v>
      </c>
      <c r="B1592" s="11">
        <v>254.80017000000001</v>
      </c>
      <c r="C1592" s="11">
        <v>239.16256999999999</v>
      </c>
    </row>
    <row r="1593" spans="1:3" x14ac:dyDescent="0.3">
      <c r="A1593" s="7">
        <v>46151</v>
      </c>
      <c r="B1593" s="11">
        <v>254.82196999999999</v>
      </c>
      <c r="C1593" s="11">
        <v>239.18135000000001</v>
      </c>
    </row>
    <row r="1594" spans="1:3" x14ac:dyDescent="0.3">
      <c r="A1594" s="7">
        <v>46152</v>
      </c>
      <c r="B1594" s="11">
        <v>254.84426999999999</v>
      </c>
      <c r="C1594" s="11">
        <v>239.20027999999999</v>
      </c>
    </row>
    <row r="1595" spans="1:3" x14ac:dyDescent="0.3">
      <c r="A1595" s="7">
        <v>46153</v>
      </c>
      <c r="B1595" s="11">
        <v>254.73787999999999</v>
      </c>
      <c r="C1595" s="11">
        <v>239.18332000000001</v>
      </c>
    </row>
    <row r="1596" spans="1:3" x14ac:dyDescent="0.3">
      <c r="A1596" s="7">
        <v>46154</v>
      </c>
      <c r="B1596" s="11">
        <v>254.44844000000001</v>
      </c>
      <c r="C1596" s="11">
        <v>239.10665</v>
      </c>
    </row>
    <row r="1597" spans="1:3" x14ac:dyDescent="0.3">
      <c r="A1597" s="7">
        <v>46155</v>
      </c>
      <c r="B1597" s="11">
        <v>254.58933999999999</v>
      </c>
      <c r="C1597" s="11">
        <v>239.17349999999999</v>
      </c>
    </row>
    <row r="1598" spans="1:3" x14ac:dyDescent="0.3">
      <c r="A1598" s="7">
        <v>46156</v>
      </c>
      <c r="B1598" s="11">
        <v>254.54759000000001</v>
      </c>
      <c r="C1598" s="11">
        <v>239.17135999999999</v>
      </c>
    </row>
    <row r="1599" spans="1:3" x14ac:dyDescent="0.3">
      <c r="A1599" s="7">
        <v>46157</v>
      </c>
      <c r="B1599" s="11">
        <v>254.16327999999999</v>
      </c>
      <c r="C1599" s="11">
        <v>239.04928000000001</v>
      </c>
    </row>
    <row r="1600" spans="1:3" x14ac:dyDescent="0.3">
      <c r="A1600" s="7">
        <v>46158</v>
      </c>
      <c r="B1600" s="11">
        <v>254.18646000000001</v>
      </c>
      <c r="C1600" s="11">
        <v>239.06867</v>
      </c>
    </row>
    <row r="1601" spans="1:3" x14ac:dyDescent="0.3">
      <c r="A1601" s="7">
        <v>46159</v>
      </c>
      <c r="B1601" s="11">
        <v>254.20963</v>
      </c>
      <c r="C1601" s="11">
        <v>239.08805000000001</v>
      </c>
    </row>
    <row r="1602" spans="1:3" x14ac:dyDescent="0.3">
      <c r="A1602" s="7">
        <v>46160</v>
      </c>
      <c r="B1602" s="11">
        <v>254.26116999999999</v>
      </c>
      <c r="C1602" s="11">
        <v>239.12098</v>
      </c>
    </row>
    <row r="1603" spans="1:3" x14ac:dyDescent="0.3">
      <c r="A1603" s="7">
        <v>46161</v>
      </c>
      <c r="B1603" s="11">
        <v>254.31325000000001</v>
      </c>
      <c r="C1603" s="11">
        <v>239.13351</v>
      </c>
    </row>
    <row r="1604" spans="1:3" x14ac:dyDescent="0.3">
      <c r="A1604" s="7">
        <v>46162</v>
      </c>
      <c r="B1604" s="11">
        <v>254.27832000000001</v>
      </c>
      <c r="C1604" s="11">
        <v>239.12606</v>
      </c>
    </row>
    <row r="1605" spans="1:3" x14ac:dyDescent="0.3">
      <c r="A1605" s="7">
        <v>46163</v>
      </c>
      <c r="B1605" s="11">
        <v>254.29638</v>
      </c>
      <c r="C1605" s="11">
        <v>239.13951</v>
      </c>
    </row>
    <row r="1606" spans="1:3" x14ac:dyDescent="0.3">
      <c r="A1606" s="7">
        <v>46164</v>
      </c>
      <c r="B1606" s="11">
        <v>254.41087999999999</v>
      </c>
      <c r="C1606" s="11">
        <v>239.17169000000001</v>
      </c>
    </row>
    <row r="1607" spans="1:3" x14ac:dyDescent="0.3">
      <c r="A1607" s="7">
        <v>46165</v>
      </c>
      <c r="B1607" s="11">
        <v>254.43402</v>
      </c>
      <c r="C1607" s="11">
        <v>239.19118</v>
      </c>
    </row>
    <row r="1608" spans="1:3" x14ac:dyDescent="0.3">
      <c r="A1608" s="7">
        <v>46166</v>
      </c>
      <c r="B1608" s="11">
        <v>254.45716999999999</v>
      </c>
      <c r="C1608" s="11">
        <v>239.21068</v>
      </c>
    </row>
    <row r="1609" spans="1:3" x14ac:dyDescent="0.3">
      <c r="A1609" s="7">
        <v>46167</v>
      </c>
      <c r="B1609" s="11">
        <v>254.48032000000001</v>
      </c>
      <c r="C1609" s="11">
        <v>239.23017999999999</v>
      </c>
    </row>
    <row r="1610" spans="1:3" x14ac:dyDescent="0.3">
      <c r="A1610" s="7">
        <v>46168</v>
      </c>
      <c r="B1610" s="11">
        <v>254.71028999999999</v>
      </c>
      <c r="C1610" s="11">
        <v>239.30135000000001</v>
      </c>
    </row>
    <row r="1611" spans="1:3" x14ac:dyDescent="0.3">
      <c r="A1611" s="7">
        <v>46169</v>
      </c>
      <c r="B1611" s="11">
        <v>254.542</v>
      </c>
      <c r="C1611" s="11">
        <v>239.25501</v>
      </c>
    </row>
    <row r="1612" spans="1:3" x14ac:dyDescent="0.3">
      <c r="A1612" s="7">
        <v>46170</v>
      </c>
      <c r="B1612" s="11">
        <v>254.37163000000001</v>
      </c>
      <c r="C1612" s="11">
        <v>239.19746000000001</v>
      </c>
    </row>
    <row r="1613" spans="1:3" x14ac:dyDescent="0.3">
      <c r="A1613" s="7">
        <v>46171</v>
      </c>
      <c r="B1613" s="11">
        <v>254.53289000000001</v>
      </c>
      <c r="C1613" s="11">
        <v>239.24180999999999</v>
      </c>
    </row>
    <row r="1614" spans="1:3" x14ac:dyDescent="0.3">
      <c r="A1614" s="7">
        <v>46172</v>
      </c>
      <c r="B1614" s="11">
        <v>254.55620999999999</v>
      </c>
      <c r="C1614" s="11">
        <v>239.26142999999999</v>
      </c>
    </row>
    <row r="1615" spans="1:3" x14ac:dyDescent="0.3">
      <c r="A1615" s="7">
        <v>46173</v>
      </c>
      <c r="B1615" s="11">
        <v>254.57953000000001</v>
      </c>
      <c r="C1615" s="11">
        <v>239.28103999999999</v>
      </c>
    </row>
    <row r="1616" spans="1:3" x14ac:dyDescent="0.3">
      <c r="A1616" s="7">
        <v>46174</v>
      </c>
      <c r="B1616" s="11">
        <v>254.32709</v>
      </c>
      <c r="C1616" s="11">
        <v>239.21216999999999</v>
      </c>
    </row>
    <row r="1617" spans="1:3" x14ac:dyDescent="0.3">
      <c r="A1617" s="7">
        <v>46175</v>
      </c>
      <c r="B1617" s="11">
        <v>254.38802000000001</v>
      </c>
      <c r="C1617" s="11">
        <v>239.21655999999999</v>
      </c>
    </row>
    <row r="1618" spans="1:3" x14ac:dyDescent="0.3">
      <c r="A1618" s="7">
        <v>46176</v>
      </c>
      <c r="B1618" s="11">
        <v>254.41173000000001</v>
      </c>
      <c r="C1618" s="11">
        <v>239.23675</v>
      </c>
    </row>
    <row r="1619" spans="1:3" x14ac:dyDescent="0.3">
      <c r="A1619" s="7">
        <v>46177</v>
      </c>
      <c r="B1619" s="11">
        <v>254.05547999999999</v>
      </c>
      <c r="C1619" s="11">
        <v>239.1249</v>
      </c>
    </row>
    <row r="1620" spans="1:3" x14ac:dyDescent="0.3">
      <c r="A1620" s="7">
        <v>46178</v>
      </c>
      <c r="B1620" s="11">
        <v>253.98755</v>
      </c>
      <c r="C1620" s="11">
        <v>239.12235999999999</v>
      </c>
    </row>
    <row r="1621" spans="1:3" x14ac:dyDescent="0.3">
      <c r="A1621" s="7">
        <v>46179</v>
      </c>
      <c r="B1621" s="11">
        <v>254.01179999999999</v>
      </c>
      <c r="C1621" s="11">
        <v>239.14286000000001</v>
      </c>
    </row>
    <row r="1622" spans="1:3" x14ac:dyDescent="0.3">
      <c r="A1622" s="7">
        <v>46180</v>
      </c>
      <c r="B1622" s="11">
        <v>254.03604999999999</v>
      </c>
      <c r="C1622" s="11">
        <v>239.16335000000001</v>
      </c>
    </row>
    <row r="1623" spans="1:3" x14ac:dyDescent="0.3">
      <c r="A1623" s="7">
        <v>46181</v>
      </c>
      <c r="B1623" s="11">
        <v>253.82778999999999</v>
      </c>
      <c r="C1623" s="11">
        <v>239.08054999999999</v>
      </c>
    </row>
    <row r="1624" spans="1:3" x14ac:dyDescent="0.3">
      <c r="A1624" s="7">
        <v>46182</v>
      </c>
      <c r="B1624" s="11">
        <v>254.11236</v>
      </c>
      <c r="C1624" s="11">
        <v>239.15863999999999</v>
      </c>
    </row>
    <row r="1625" spans="1:3" x14ac:dyDescent="0.3">
      <c r="A1625" s="7">
        <v>46183</v>
      </c>
      <c r="B1625" s="11">
        <v>254.22735</v>
      </c>
      <c r="C1625" s="11">
        <v>239.19855000000001</v>
      </c>
    </row>
    <row r="1626" spans="1:3" x14ac:dyDescent="0.3">
      <c r="A1626" s="7">
        <v>46184</v>
      </c>
      <c r="B1626" s="11">
        <v>254.16353000000001</v>
      </c>
      <c r="C1626" s="11">
        <v>239.17931999999999</v>
      </c>
    </row>
    <row r="1627" spans="1:3" x14ac:dyDescent="0.3">
      <c r="A1627" s="7">
        <v>46185</v>
      </c>
      <c r="B1627" s="11">
        <v>254.58249000000001</v>
      </c>
      <c r="C1627" s="11">
        <v>239.31769</v>
      </c>
    </row>
    <row r="1628" spans="1:3" x14ac:dyDescent="0.3">
      <c r="A1628" s="7">
        <v>46186</v>
      </c>
      <c r="B1628">
        <v>254.60619</v>
      </c>
      <c r="C1628">
        <v>239.33823000000001</v>
      </c>
    </row>
    <row r="1629" spans="1:3" x14ac:dyDescent="0.3">
      <c r="A1629" s="7">
        <v>46187</v>
      </c>
      <c r="B1629">
        <v>254.62991</v>
      </c>
      <c r="C1629">
        <v>239.35874999999999</v>
      </c>
    </row>
    <row r="1630" spans="1:3" x14ac:dyDescent="0.3">
      <c r="A1630" s="7">
        <v>46188</v>
      </c>
      <c r="B1630">
        <v>254.82991999999999</v>
      </c>
      <c r="C1630">
        <v>239.44157000000001</v>
      </c>
    </row>
    <row r="1631" spans="1:3" x14ac:dyDescent="0.3">
      <c r="A1631" s="7">
        <v>46189</v>
      </c>
      <c r="B1631">
        <v>254.93593000000001</v>
      </c>
      <c r="C1631">
        <v>239.48316</v>
      </c>
    </row>
    <row r="1632" spans="1:3" x14ac:dyDescent="0.3">
      <c r="A1632" s="7">
        <v>46190</v>
      </c>
      <c r="B1632">
        <v>255.03038000000001</v>
      </c>
      <c r="C1632">
        <v>239.51937000000001</v>
      </c>
    </row>
    <row r="1633" spans="1:3" x14ac:dyDescent="0.3">
      <c r="A1633" s="7">
        <v>46191</v>
      </c>
      <c r="B1633">
        <v>254.85782</v>
      </c>
      <c r="C1633">
        <v>239.47694000000001</v>
      </c>
    </row>
    <row r="1634" spans="1:3" x14ac:dyDescent="0.3">
      <c r="A1634" s="7">
        <v>46192</v>
      </c>
      <c r="B1634">
        <v>254.73276000000001</v>
      </c>
      <c r="C1634">
        <v>239.44095999999999</v>
      </c>
    </row>
    <row r="1635" spans="1:3" x14ac:dyDescent="0.3">
      <c r="A1635" s="7">
        <v>46193</v>
      </c>
      <c r="B1635">
        <v>254.75645</v>
      </c>
      <c r="C1635">
        <v>239.46156999999999</v>
      </c>
    </row>
    <row r="1636" spans="1:3" x14ac:dyDescent="0.3">
      <c r="A1636" s="7">
        <v>46194</v>
      </c>
      <c r="B1636">
        <v>254.78014999999999</v>
      </c>
      <c r="C1636">
        <v>239.48220000000001</v>
      </c>
    </row>
    <row r="1637" spans="1:3" x14ac:dyDescent="0.3">
      <c r="A1637" s="7">
        <v>46195</v>
      </c>
      <c r="B1637">
        <v>254.68933999999999</v>
      </c>
      <c r="C1637">
        <v>239.45742000000001</v>
      </c>
    </row>
    <row r="1638" spans="1:3" x14ac:dyDescent="0.3">
      <c r="A1638" s="7">
        <v>46196</v>
      </c>
      <c r="B1638">
        <v>254.84689</v>
      </c>
      <c r="C1638">
        <v>239.50551999999999</v>
      </c>
    </row>
    <row r="1639" spans="1:3" x14ac:dyDescent="0.3">
      <c r="A1639" s="7">
        <v>46197</v>
      </c>
      <c r="B1639">
        <v>254.83001999999999</v>
      </c>
      <c r="C1639">
        <v>239.50545</v>
      </c>
    </row>
    <row r="1640" spans="1:3" x14ac:dyDescent="0.3">
      <c r="A1640" s="7">
        <v>46198</v>
      </c>
      <c r="B1640">
        <v>254.88273000000001</v>
      </c>
      <c r="C1640">
        <v>239.52700999999999</v>
      </c>
    </row>
    <row r="1641" spans="1:3" x14ac:dyDescent="0.3">
      <c r="A1641" s="7">
        <v>46199</v>
      </c>
      <c r="B1641">
        <v>255.03749999999999</v>
      </c>
      <c r="C1641">
        <v>239.56009</v>
      </c>
    </row>
    <row r="1642" spans="1:3" x14ac:dyDescent="0.3">
      <c r="A1642" s="7">
        <v>46200</v>
      </c>
      <c r="B1642">
        <v>255.06115</v>
      </c>
      <c r="C1642">
        <v>239.58089000000001</v>
      </c>
    </row>
    <row r="1643" spans="1:3" x14ac:dyDescent="0.3">
      <c r="A1643" s="7">
        <v>46201</v>
      </c>
      <c r="B1643">
        <v>255.08481</v>
      </c>
      <c r="C1643">
        <v>239.60166000000001</v>
      </c>
    </row>
    <row r="1644" spans="1:3" x14ac:dyDescent="0.3">
      <c r="A1644" s="7">
        <v>46202</v>
      </c>
      <c r="B1644">
        <v>255.02922000000001</v>
      </c>
      <c r="C1644">
        <v>239.5891</v>
      </c>
    </row>
    <row r="1645" spans="1:3" x14ac:dyDescent="0.3">
      <c r="A1645" s="7">
        <v>46203</v>
      </c>
      <c r="B1645">
        <v>255.15266</v>
      </c>
      <c r="C1645">
        <v>239.6198</v>
      </c>
    </row>
    <row r="1646" spans="1:3" x14ac:dyDescent="0.3">
      <c r="A1646" s="7">
        <v>46204</v>
      </c>
      <c r="B1646">
        <v>254.78065000000001</v>
      </c>
      <c r="C1646">
        <v>239.50384</v>
      </c>
    </row>
    <row r="1647" spans="1:3" x14ac:dyDescent="0.3">
      <c r="A1647" s="7">
        <v>46205</v>
      </c>
      <c r="B1647">
        <v>254.94502</v>
      </c>
      <c r="C1647">
        <v>239.57316</v>
      </c>
    </row>
    <row r="1648" spans="1:3" x14ac:dyDescent="0.3">
      <c r="A1648" s="7">
        <v>46206</v>
      </c>
      <c r="B1648">
        <v>254.98894999999999</v>
      </c>
      <c r="C1648">
        <v>239.59981999999999</v>
      </c>
    </row>
    <row r="1649" spans="1:3" x14ac:dyDescent="0.3">
      <c r="A1649" s="7">
        <v>46207</v>
      </c>
      <c r="B1649">
        <v>255.01286999999999</v>
      </c>
      <c r="C1649">
        <v>239.62092000000001</v>
      </c>
    </row>
    <row r="1650" spans="1:3" x14ac:dyDescent="0.3">
      <c r="A1650" s="7">
        <v>46208</v>
      </c>
      <c r="B1650">
        <v>255.0368</v>
      </c>
      <c r="C1650">
        <v>239.64202</v>
      </c>
    </row>
    <row r="1651" spans="1:3" x14ac:dyDescent="0.3">
      <c r="A1651" s="7">
        <v>46209</v>
      </c>
      <c r="B1651">
        <v>255.02097000000001</v>
      </c>
      <c r="C1651">
        <v>239.65939</v>
      </c>
    </row>
    <row r="1652" spans="1:3" x14ac:dyDescent="0.3">
      <c r="A1652" s="7">
        <v>46210</v>
      </c>
      <c r="B1652">
        <v>255.04354000000001</v>
      </c>
      <c r="C1652">
        <v>239.68504999999999</v>
      </c>
    </row>
    <row r="1653" spans="1:3" x14ac:dyDescent="0.3">
      <c r="A1653" s="7">
        <v>46211</v>
      </c>
      <c r="B1653">
        <v>255.06148999999999</v>
      </c>
      <c r="C1653">
        <v>239.71105</v>
      </c>
    </row>
    <row r="1654" spans="1:3" x14ac:dyDescent="0.3">
      <c r="A1654" s="7">
        <v>46212</v>
      </c>
      <c r="B1654">
        <v>255.04677000000001</v>
      </c>
      <c r="C1654">
        <v>239.73239000000001</v>
      </c>
    </row>
    <row r="1655" spans="1:3" x14ac:dyDescent="0.3">
      <c r="A1655" s="7">
        <v>46213</v>
      </c>
      <c r="B1655">
        <v>255.10963000000001</v>
      </c>
      <c r="C1655">
        <v>239.76446999999999</v>
      </c>
    </row>
    <row r="1656" spans="1:3" x14ac:dyDescent="0.3">
      <c r="A1656" s="7">
        <v>46214</v>
      </c>
      <c r="B1656">
        <v>255.13357999999999</v>
      </c>
      <c r="C1656">
        <v>239.78550000000001</v>
      </c>
    </row>
    <row r="1657" spans="1:3" x14ac:dyDescent="0.3">
      <c r="A1657" s="7">
        <v>46215</v>
      </c>
      <c r="B1657">
        <v>255.15752000000001</v>
      </c>
      <c r="C1657">
        <v>239.80653000000001</v>
      </c>
    </row>
    <row r="1658" spans="1:3" x14ac:dyDescent="0.3">
      <c r="A1658" s="7">
        <v>46216</v>
      </c>
      <c r="B1658">
        <v>255.04178999999999</v>
      </c>
      <c r="C1658">
        <v>239.78475</v>
      </c>
    </row>
    <row r="1659" spans="1:3" x14ac:dyDescent="0.3">
      <c r="A1659" s="7">
        <v>46217</v>
      </c>
      <c r="B1659">
        <v>254.75538</v>
      </c>
      <c r="C1659">
        <v>239.70589000000001</v>
      </c>
    </row>
    <row r="1660" spans="1:3" x14ac:dyDescent="0.3">
      <c r="A1660" s="7">
        <v>46218</v>
      </c>
      <c r="B1660">
        <v>254.89268000000001</v>
      </c>
      <c r="C1660">
        <v>239.78055000000001</v>
      </c>
    </row>
    <row r="1661" spans="1:3" x14ac:dyDescent="0.3">
      <c r="A1661" s="7">
        <v>46219</v>
      </c>
      <c r="B1661">
        <v>255.00864000000001</v>
      </c>
      <c r="C1661">
        <v>239.85457</v>
      </c>
    </row>
    <row r="1662" spans="1:3" x14ac:dyDescent="0.3">
      <c r="A1662" s="7">
        <v>46220</v>
      </c>
      <c r="B1662">
        <v>255.03281999999999</v>
      </c>
      <c r="C1662">
        <v>239.87567000000001</v>
      </c>
    </row>
    <row r="1663" spans="1:3" x14ac:dyDescent="0.3">
      <c r="A1663" s="7">
        <v>46221</v>
      </c>
      <c r="B1663">
        <v>255.05699999999999</v>
      </c>
      <c r="C1663">
        <v>239.89680000000001</v>
      </c>
    </row>
    <row r="1664" spans="1:3" x14ac:dyDescent="0.3">
      <c r="A1664" s="7">
        <v>46222</v>
      </c>
      <c r="B1664">
        <v>255.08118999999999</v>
      </c>
      <c r="C1664">
        <v>239.91793000000001</v>
      </c>
    </row>
    <row r="1665" spans="1:3" x14ac:dyDescent="0.3">
      <c r="A1665" s="7">
        <v>46223</v>
      </c>
      <c r="B1665">
        <v>254.95941999999999</v>
      </c>
      <c r="C1665">
        <v>239.90546000000001</v>
      </c>
    </row>
    <row r="1666" spans="1:3" x14ac:dyDescent="0.3">
      <c r="A1666" s="7">
        <v>46224</v>
      </c>
      <c r="B1666">
        <v>255.13413</v>
      </c>
      <c r="C1666">
        <v>239.98348999999999</v>
      </c>
    </row>
    <row r="1667" spans="1:3" x14ac:dyDescent="0.3">
      <c r="A1667" s="7">
        <v>46225</v>
      </c>
      <c r="B1667">
        <v>254.96755999999999</v>
      </c>
      <c r="C1667">
        <v>239.95308</v>
      </c>
    </row>
    <row r="1668" spans="1:3" x14ac:dyDescent="0.3">
      <c r="A1668" s="7">
        <v>46226</v>
      </c>
      <c r="B1668">
        <v>254.9932</v>
      </c>
      <c r="C1668">
        <v>239.97334000000001</v>
      </c>
    </row>
    <row r="1669" spans="1:3" x14ac:dyDescent="0.3">
      <c r="A1669" s="7">
        <v>46227</v>
      </c>
      <c r="B1669">
        <v>254.87166999999999</v>
      </c>
      <c r="C1669">
        <v>239.95500999999999</v>
      </c>
    </row>
    <row r="1670" spans="1:3" x14ac:dyDescent="0.3">
      <c r="A1670" s="7">
        <v>46228</v>
      </c>
      <c r="B1670">
        <v>254.89619999999999</v>
      </c>
      <c r="C1670">
        <v>239.97618</v>
      </c>
    </row>
    <row r="1671" spans="1:3" x14ac:dyDescent="0.3">
      <c r="A1671" s="7">
        <v>46229</v>
      </c>
      <c r="B1671">
        <v>254.92071999999999</v>
      </c>
      <c r="C1671">
        <v>239.99734000000001</v>
      </c>
    </row>
    <row r="1672" spans="1:3" x14ac:dyDescent="0.3">
      <c r="A1672" s="7">
        <v>46230</v>
      </c>
      <c r="B1672">
        <v>255.26626999999999</v>
      </c>
      <c r="C1672">
        <v>240.12610000000001</v>
      </c>
    </row>
    <row r="1673" spans="1:3" x14ac:dyDescent="0.3">
      <c r="A1673" s="7">
        <v>46231</v>
      </c>
      <c r="B1673">
        <v>255.42645999999999</v>
      </c>
      <c r="C1673">
        <v>240.18652</v>
      </c>
    </row>
    <row r="1674" spans="1:3" x14ac:dyDescent="0.3">
      <c r="A1674" s="7">
        <v>46232</v>
      </c>
      <c r="B1674">
        <v>255.55000999999999</v>
      </c>
      <c r="C1674">
        <v>240.23533</v>
      </c>
    </row>
    <row r="1675" spans="1:3" x14ac:dyDescent="0.3">
      <c r="A1675" s="7">
        <v>46233</v>
      </c>
      <c r="B1675">
        <v>255.48982000000001</v>
      </c>
      <c r="C1675">
        <v>240.23537999999999</v>
      </c>
    </row>
    <row r="1676" spans="1:3" x14ac:dyDescent="0.3">
      <c r="A1676" s="7">
        <v>46234</v>
      </c>
      <c r="B1676">
        <v>255.71376000000001</v>
      </c>
      <c r="C1676">
        <v>240.32185000000001</v>
      </c>
    </row>
    <row r="1677" spans="1:3" x14ac:dyDescent="0.3">
      <c r="A1677" s="7">
        <v>46235</v>
      </c>
      <c r="B1677">
        <v>255.73766000000001</v>
      </c>
      <c r="C1677">
        <v>240.34234000000001</v>
      </c>
    </row>
    <row r="1678" spans="1:3" x14ac:dyDescent="0.3">
      <c r="A1678" s="7">
        <v>46236</v>
      </c>
      <c r="B1678">
        <v>255.76156</v>
      </c>
      <c r="C1678">
        <v>240.36283</v>
      </c>
    </row>
    <row r="1679" spans="1:3" x14ac:dyDescent="0.3">
      <c r="A1679" s="7">
        <v>46237</v>
      </c>
      <c r="B1679">
        <v>255.86845</v>
      </c>
      <c r="C1679">
        <v>240.42016000000001</v>
      </c>
    </row>
    <row r="1680" spans="1:3" x14ac:dyDescent="0.3">
      <c r="A1680" s="7">
        <v>46238</v>
      </c>
      <c r="B1680">
        <v>255.90459999999999</v>
      </c>
      <c r="C1680">
        <v>240.44259</v>
      </c>
    </row>
    <row r="1681" spans="1:3" x14ac:dyDescent="0.3">
      <c r="A1681" s="7">
        <v>46239</v>
      </c>
      <c r="B1681">
        <v>256.20193</v>
      </c>
      <c r="C1681">
        <v>240.55797999999999</v>
      </c>
    </row>
    <row r="1682" spans="1:3" x14ac:dyDescent="0.3">
      <c r="A1682" s="7">
        <v>46240</v>
      </c>
      <c r="B1682">
        <v>256.04980999999998</v>
      </c>
      <c r="C1682">
        <v>240.52763999999999</v>
      </c>
    </row>
    <row r="1683" spans="1:3" x14ac:dyDescent="0.3">
      <c r="A1683" s="7">
        <v>46241</v>
      </c>
      <c r="B1683">
        <v>256.06002999999998</v>
      </c>
      <c r="C1683">
        <v>240.54441</v>
      </c>
    </row>
    <row r="1684" spans="1:3" x14ac:dyDescent="0.3">
      <c r="A1684" s="7">
        <v>46242</v>
      </c>
      <c r="B1684">
        <v>256.08371</v>
      </c>
      <c r="C1684">
        <v>240.56519</v>
      </c>
    </row>
    <row r="1685" spans="1:3" x14ac:dyDescent="0.3">
      <c r="A1685" s="7">
        <v>46243</v>
      </c>
      <c r="B1685">
        <v>256.10739999999998</v>
      </c>
      <c r="C1685">
        <v>240.58597</v>
      </c>
    </row>
    <row r="1686" spans="1:3" x14ac:dyDescent="0.3">
      <c r="A1686" s="7">
        <v>46244</v>
      </c>
      <c r="B1686">
        <v>256.05932999999999</v>
      </c>
      <c r="C1686">
        <v>240.58561</v>
      </c>
    </row>
    <row r="1687" spans="1:3" x14ac:dyDescent="0.3">
      <c r="A1687" s="7">
        <v>46245</v>
      </c>
      <c r="B1687">
        <v>255.95514</v>
      </c>
      <c r="C1687">
        <v>240.56519</v>
      </c>
    </row>
    <row r="1688" spans="1:3" x14ac:dyDescent="0.3">
      <c r="A1688" s="7">
        <v>46246</v>
      </c>
      <c r="B1688">
        <v>256.03728999999998</v>
      </c>
      <c r="C1688">
        <v>240.6001</v>
      </c>
    </row>
    <row r="1689" spans="1:3" x14ac:dyDescent="0.3">
      <c r="A1689" s="7">
        <v>46247</v>
      </c>
      <c r="B1689">
        <v>256.04804999999999</v>
      </c>
      <c r="C1689">
        <v>240.61079000000001</v>
      </c>
    </row>
    <row r="1690" spans="1:3" x14ac:dyDescent="0.3">
      <c r="A1690" s="7">
        <v>46248</v>
      </c>
      <c r="B1690">
        <v>256.00776999999999</v>
      </c>
      <c r="C1690">
        <v>240.61920000000001</v>
      </c>
    </row>
    <row r="1691" spans="1:3" x14ac:dyDescent="0.3">
      <c r="A1691" s="7">
        <v>46249</v>
      </c>
      <c r="B1691">
        <v>256.03172000000001</v>
      </c>
      <c r="C1691">
        <v>240.64015000000001</v>
      </c>
    </row>
    <row r="1692" spans="1:3" x14ac:dyDescent="0.3">
      <c r="A1692" s="7">
        <v>46250</v>
      </c>
      <c r="B1692">
        <v>256.05567000000002</v>
      </c>
      <c r="C1692">
        <v>240.6611</v>
      </c>
    </row>
    <row r="1693" spans="1:3" x14ac:dyDescent="0.3">
      <c r="A1693" s="7">
        <v>46251</v>
      </c>
      <c r="B1693">
        <v>256.07961999999998</v>
      </c>
      <c r="C1693">
        <v>240.68207000000001</v>
      </c>
    </row>
    <row r="1694" spans="1:3" x14ac:dyDescent="0.3">
      <c r="A1694" s="7">
        <v>46252</v>
      </c>
      <c r="B1694">
        <v>255.92318</v>
      </c>
      <c r="C1694">
        <v>240.65223</v>
      </c>
    </row>
    <row r="1695" spans="1:3" x14ac:dyDescent="0.3">
      <c r="A1695" s="7">
        <v>46253</v>
      </c>
      <c r="B1695">
        <v>256.12202000000002</v>
      </c>
      <c r="C1695">
        <v>240.71546000000001</v>
      </c>
    </row>
    <row r="1696" spans="1:3" x14ac:dyDescent="0.3">
      <c r="A1696" s="7">
        <v>46254</v>
      </c>
      <c r="B1696">
        <v>256.02726000000001</v>
      </c>
      <c r="C1696">
        <v>240.68200999999999</v>
      </c>
    </row>
    <row r="1697" spans="1:3" x14ac:dyDescent="0.3">
      <c r="A1697" s="7">
        <v>46255</v>
      </c>
      <c r="B1697">
        <v>255.9228</v>
      </c>
      <c r="C1697">
        <v>240.65656999999999</v>
      </c>
    </row>
    <row r="1698" spans="1:3" x14ac:dyDescent="0.3">
      <c r="A1698" s="7">
        <v>46256</v>
      </c>
      <c r="B1698">
        <v>255.94707</v>
      </c>
      <c r="C1698">
        <v>240.67779999999999</v>
      </c>
    </row>
    <row r="1699" spans="1:3" x14ac:dyDescent="0.3">
      <c r="A1699" s="7">
        <v>46257</v>
      </c>
      <c r="B1699">
        <v>255.97134</v>
      </c>
      <c r="C1699">
        <v>240.69901999999999</v>
      </c>
    </row>
    <row r="1700" spans="1:3" x14ac:dyDescent="0.3">
      <c r="A1700" s="7">
        <v>46258</v>
      </c>
      <c r="B1700">
        <v>256.08748000000003</v>
      </c>
      <c r="C1700">
        <v>240.73560000000001</v>
      </c>
    </row>
    <row r="1701" spans="1:3" x14ac:dyDescent="0.3">
      <c r="A1701" s="7">
        <v>46259</v>
      </c>
      <c r="B1701">
        <v>256.17504000000002</v>
      </c>
      <c r="C1701">
        <v>240.76844</v>
      </c>
    </row>
    <row r="1702" spans="1:3" x14ac:dyDescent="0.3">
      <c r="A1702" s="7">
        <v>46260</v>
      </c>
      <c r="B1702">
        <v>256.20594</v>
      </c>
      <c r="C1702">
        <v>240.78778</v>
      </c>
    </row>
    <row r="1703" spans="1:3" x14ac:dyDescent="0.3">
      <c r="A1703" s="7"/>
    </row>
    <row r="1704" spans="1:3" x14ac:dyDescent="0.3">
      <c r="A1704" s="7"/>
    </row>
    <row r="1705" spans="1:3" x14ac:dyDescent="0.3">
      <c r="A1705" s="7"/>
    </row>
    <row r="1706" spans="1:3" x14ac:dyDescent="0.3">
      <c r="A1706" s="7"/>
    </row>
    <row r="1707" spans="1:3" x14ac:dyDescent="0.3">
      <c r="A1707" s="7"/>
    </row>
    <row r="1708" spans="1:3" x14ac:dyDescent="0.3">
      <c r="A1708" s="7"/>
    </row>
    <row r="1709" spans="1:3" x14ac:dyDescent="0.3">
      <c r="A1709" s="7"/>
    </row>
    <row r="1710" spans="1:3" x14ac:dyDescent="0.3">
      <c r="A1710" s="7"/>
    </row>
    <row r="1711" spans="1:3" x14ac:dyDescent="0.3">
      <c r="A1711" s="7"/>
    </row>
    <row r="1712" spans="1:3" x14ac:dyDescent="0.3">
      <c r="A1712" s="7"/>
    </row>
    <row r="1713" spans="1:1" x14ac:dyDescent="0.3">
      <c r="A1713" s="7"/>
    </row>
    <row r="1714" spans="1:1" x14ac:dyDescent="0.3">
      <c r="A1714" s="7"/>
    </row>
    <row r="1715" spans="1:1" x14ac:dyDescent="0.3">
      <c r="A1715" s="7"/>
    </row>
    <row r="1716" spans="1:1" x14ac:dyDescent="0.3">
      <c r="A1716" s="7"/>
    </row>
    <row r="1717" spans="1:1" x14ac:dyDescent="0.3">
      <c r="A1717" s="7"/>
    </row>
    <row r="1718" spans="1:1" x14ac:dyDescent="0.3">
      <c r="A1718" s="7"/>
    </row>
    <row r="1719" spans="1:1" x14ac:dyDescent="0.3">
      <c r="A1719" s="7"/>
    </row>
    <row r="1720" spans="1:1" x14ac:dyDescent="0.3">
      <c r="A1720" s="7"/>
    </row>
    <row r="1721" spans="1:1" x14ac:dyDescent="0.3">
      <c r="A1721" s="7"/>
    </row>
    <row r="1722" spans="1:1" x14ac:dyDescent="0.3">
      <c r="A1722" s="7"/>
    </row>
    <row r="1723" spans="1:1" x14ac:dyDescent="0.3">
      <c r="A1723" s="7"/>
    </row>
    <row r="1724" spans="1:1" x14ac:dyDescent="0.3">
      <c r="A1724" s="7"/>
    </row>
    <row r="1725" spans="1:1" x14ac:dyDescent="0.3">
      <c r="A1725" s="7"/>
    </row>
    <row r="1726" spans="1:1" x14ac:dyDescent="0.3">
      <c r="A1726" s="7"/>
    </row>
    <row r="1727" spans="1:1" x14ac:dyDescent="0.3">
      <c r="A1727" s="7"/>
    </row>
    <row r="1728" spans="1:1" x14ac:dyDescent="0.3">
      <c r="A1728" s="7"/>
    </row>
    <row r="1729" spans="1:1" x14ac:dyDescent="0.3">
      <c r="A1729" s="7"/>
    </row>
    <row r="1730" spans="1:1" x14ac:dyDescent="0.3">
      <c r="A1730" s="7"/>
    </row>
    <row r="1731" spans="1:1" x14ac:dyDescent="0.3">
      <c r="A1731" s="7"/>
    </row>
    <row r="1732" spans="1:1" x14ac:dyDescent="0.3">
      <c r="A1732" s="7"/>
    </row>
    <row r="1733" spans="1:1" x14ac:dyDescent="0.3">
      <c r="A1733" s="7"/>
    </row>
    <row r="1734" spans="1:1" x14ac:dyDescent="0.3">
      <c r="A1734" s="7"/>
    </row>
    <row r="1735" spans="1:1" x14ac:dyDescent="0.3">
      <c r="A1735" s="7"/>
    </row>
    <row r="1736" spans="1:1" x14ac:dyDescent="0.3">
      <c r="A1736" s="7"/>
    </row>
    <row r="1737" spans="1:1" x14ac:dyDescent="0.3">
      <c r="A1737" s="7"/>
    </row>
    <row r="1738" spans="1:1" x14ac:dyDescent="0.3">
      <c r="A1738" s="7"/>
    </row>
    <row r="1739" spans="1:1" x14ac:dyDescent="0.3">
      <c r="A1739" s="7"/>
    </row>
    <row r="1740" spans="1:1" x14ac:dyDescent="0.3">
      <c r="A1740" s="7"/>
    </row>
    <row r="1741" spans="1:1" x14ac:dyDescent="0.3">
      <c r="A1741" s="7"/>
    </row>
    <row r="1742" spans="1:1" x14ac:dyDescent="0.3">
      <c r="A1742" s="7"/>
    </row>
    <row r="1743" spans="1:1" x14ac:dyDescent="0.3">
      <c r="A1743" s="7"/>
    </row>
    <row r="1744" spans="1:1" x14ac:dyDescent="0.3">
      <c r="A1744" s="7"/>
    </row>
    <row r="1745" spans="1:1" x14ac:dyDescent="0.3">
      <c r="A1745" s="7"/>
    </row>
    <row r="1746" spans="1:1" x14ac:dyDescent="0.3">
      <c r="A1746" s="7"/>
    </row>
    <row r="1747" spans="1:1" x14ac:dyDescent="0.3">
      <c r="A1747" s="7"/>
    </row>
    <row r="1748" spans="1:1" x14ac:dyDescent="0.3">
      <c r="A1748" s="7"/>
    </row>
    <row r="1749" spans="1:1" x14ac:dyDescent="0.3">
      <c r="A1749" s="7"/>
    </row>
    <row r="1750" spans="1:1" x14ac:dyDescent="0.3">
      <c r="A1750" s="7"/>
    </row>
    <row r="1751" spans="1:1" x14ac:dyDescent="0.3">
      <c r="A1751" s="7"/>
    </row>
    <row r="1752" spans="1:1" x14ac:dyDescent="0.3">
      <c r="A1752" s="7"/>
    </row>
    <row r="1753" spans="1:1" x14ac:dyDescent="0.3">
      <c r="A1753" s="7"/>
    </row>
    <row r="1754" spans="1:1" x14ac:dyDescent="0.3">
      <c r="A1754" s="7"/>
    </row>
    <row r="1755" spans="1:1" x14ac:dyDescent="0.3">
      <c r="A1755" s="7"/>
    </row>
    <row r="1756" spans="1:1" x14ac:dyDescent="0.3">
      <c r="A1756" s="7"/>
    </row>
    <row r="1757" spans="1:1" x14ac:dyDescent="0.3">
      <c r="A1757" s="7"/>
    </row>
    <row r="1758" spans="1:1" x14ac:dyDescent="0.3">
      <c r="A1758" s="7"/>
    </row>
    <row r="1759" spans="1:1" x14ac:dyDescent="0.3">
      <c r="A1759" s="7"/>
    </row>
    <row r="1760" spans="1:1" x14ac:dyDescent="0.3">
      <c r="A1760" s="7"/>
    </row>
    <row r="1761" spans="1:1" x14ac:dyDescent="0.3">
      <c r="A1761" s="7"/>
    </row>
    <row r="1762" spans="1:1" x14ac:dyDescent="0.3">
      <c r="A1762" s="7"/>
    </row>
    <row r="1763" spans="1:1" x14ac:dyDescent="0.3">
      <c r="A1763" s="7"/>
    </row>
    <row r="1764" spans="1:1" x14ac:dyDescent="0.3">
      <c r="A1764" s="7"/>
    </row>
    <row r="1765" spans="1:1" x14ac:dyDescent="0.3">
      <c r="A1765" s="7"/>
    </row>
    <row r="1766" spans="1:1" x14ac:dyDescent="0.3">
      <c r="A1766" s="7"/>
    </row>
    <row r="1767" spans="1:1" x14ac:dyDescent="0.3">
      <c r="A1767" s="7"/>
    </row>
    <row r="1768" spans="1:1" x14ac:dyDescent="0.3">
      <c r="A1768" s="7"/>
    </row>
    <row r="1769" spans="1:1" x14ac:dyDescent="0.3">
      <c r="A1769" s="7"/>
    </row>
    <row r="1770" spans="1:1" x14ac:dyDescent="0.3">
      <c r="A1770" s="7"/>
    </row>
    <row r="1771" spans="1:1" x14ac:dyDescent="0.3">
      <c r="A1771" s="7"/>
    </row>
    <row r="1772" spans="1:1" x14ac:dyDescent="0.3">
      <c r="A1772" s="7"/>
    </row>
    <row r="1773" spans="1:1" x14ac:dyDescent="0.3">
      <c r="A1773" s="7"/>
    </row>
    <row r="1774" spans="1:1" x14ac:dyDescent="0.3">
      <c r="A1774" s="7"/>
    </row>
    <row r="1775" spans="1:1" x14ac:dyDescent="0.3">
      <c r="A1775" s="7"/>
    </row>
    <row r="1776" spans="1:1" x14ac:dyDescent="0.3">
      <c r="A1776" s="7"/>
    </row>
    <row r="1777" spans="1:1" x14ac:dyDescent="0.3">
      <c r="A1777" s="7"/>
    </row>
    <row r="1778" spans="1:1" x14ac:dyDescent="0.3">
      <c r="A1778" s="7"/>
    </row>
    <row r="1779" spans="1:1" x14ac:dyDescent="0.3">
      <c r="A1779" s="7"/>
    </row>
    <row r="1780" spans="1:1" x14ac:dyDescent="0.3">
      <c r="A1780" s="7"/>
    </row>
    <row r="1781" spans="1:1" x14ac:dyDescent="0.3">
      <c r="A1781" s="7"/>
    </row>
    <row r="1782" spans="1:1" x14ac:dyDescent="0.3">
      <c r="A1782" s="7"/>
    </row>
    <row r="1783" spans="1:1" x14ac:dyDescent="0.3">
      <c r="A1783" s="7"/>
    </row>
    <row r="1784" spans="1:1" x14ac:dyDescent="0.3">
      <c r="A1784" s="7"/>
    </row>
    <row r="1785" spans="1:1" x14ac:dyDescent="0.3">
      <c r="A1785" s="7"/>
    </row>
    <row r="1786" spans="1:1" x14ac:dyDescent="0.3">
      <c r="A1786" s="7"/>
    </row>
    <row r="1787" spans="1:1" x14ac:dyDescent="0.3">
      <c r="A1787" s="7"/>
    </row>
    <row r="1788" spans="1:1" x14ac:dyDescent="0.3">
      <c r="A1788" s="7"/>
    </row>
    <row r="1789" spans="1:1" x14ac:dyDescent="0.3">
      <c r="A1789" s="7"/>
    </row>
    <row r="1790" spans="1:1" x14ac:dyDescent="0.3">
      <c r="A1790" s="7"/>
    </row>
    <row r="1791" spans="1:1" x14ac:dyDescent="0.3">
      <c r="A1791" s="7"/>
    </row>
    <row r="1792" spans="1:1" x14ac:dyDescent="0.3">
      <c r="A1792" s="7"/>
    </row>
    <row r="1793" spans="1:1" x14ac:dyDescent="0.3">
      <c r="A1793" s="7"/>
    </row>
    <row r="1794" spans="1:1" x14ac:dyDescent="0.3">
      <c r="A1794" s="7"/>
    </row>
    <row r="1795" spans="1:1" x14ac:dyDescent="0.3">
      <c r="A1795" s="7"/>
    </row>
    <row r="1796" spans="1:1" x14ac:dyDescent="0.3">
      <c r="A1796" s="7"/>
    </row>
    <row r="1797" spans="1:1" x14ac:dyDescent="0.3">
      <c r="A1797" s="7"/>
    </row>
    <row r="1798" spans="1:1" x14ac:dyDescent="0.3">
      <c r="A1798" s="7"/>
    </row>
    <row r="1799" spans="1:1" x14ac:dyDescent="0.3">
      <c r="A1799" s="7"/>
    </row>
    <row r="1800" spans="1:1" x14ac:dyDescent="0.3">
      <c r="A1800" s="7"/>
    </row>
    <row r="1801" spans="1:1" x14ac:dyDescent="0.3">
      <c r="A1801" s="7"/>
    </row>
    <row r="1802" spans="1:1" x14ac:dyDescent="0.3">
      <c r="A1802" s="7"/>
    </row>
    <row r="1803" spans="1:1" x14ac:dyDescent="0.3">
      <c r="A1803" s="7"/>
    </row>
    <row r="1804" spans="1:1" x14ac:dyDescent="0.3">
      <c r="A1804" s="7"/>
    </row>
    <row r="1805" spans="1:1" x14ac:dyDescent="0.3">
      <c r="A1805" s="7"/>
    </row>
    <row r="1806" spans="1:1" x14ac:dyDescent="0.3">
      <c r="A1806" s="7"/>
    </row>
    <row r="1807" spans="1:1" x14ac:dyDescent="0.3">
      <c r="A1807" s="7"/>
    </row>
    <row r="1808" spans="1:1" x14ac:dyDescent="0.3">
      <c r="A1808" s="7"/>
    </row>
    <row r="1809" spans="1:1" x14ac:dyDescent="0.3">
      <c r="A1809" s="7"/>
    </row>
    <row r="1810" spans="1:1" x14ac:dyDescent="0.3">
      <c r="A1810" s="7"/>
    </row>
    <row r="1811" spans="1:1" x14ac:dyDescent="0.3">
      <c r="A1811" s="7"/>
    </row>
    <row r="1812" spans="1:1" x14ac:dyDescent="0.3">
      <c r="A1812" s="7"/>
    </row>
    <row r="1813" spans="1:1" x14ac:dyDescent="0.3">
      <c r="A1813" s="7"/>
    </row>
    <row r="1814" spans="1:1" x14ac:dyDescent="0.3">
      <c r="A1814" s="7"/>
    </row>
    <row r="1815" spans="1:1" x14ac:dyDescent="0.3">
      <c r="A1815" s="7"/>
    </row>
    <row r="1816" spans="1:1" x14ac:dyDescent="0.3">
      <c r="A1816" s="7"/>
    </row>
    <row r="1817" spans="1:1" x14ac:dyDescent="0.3">
      <c r="A1817" s="7"/>
    </row>
    <row r="1818" spans="1:1" x14ac:dyDescent="0.3">
      <c r="A1818" s="7"/>
    </row>
    <row r="1819" spans="1:1" x14ac:dyDescent="0.3">
      <c r="A1819" s="7"/>
    </row>
    <row r="1820" spans="1:1" x14ac:dyDescent="0.3">
      <c r="A1820" s="7"/>
    </row>
    <row r="1821" spans="1:1" x14ac:dyDescent="0.3">
      <c r="A1821" s="7"/>
    </row>
    <row r="1822" spans="1:1" x14ac:dyDescent="0.3">
      <c r="A1822" s="7"/>
    </row>
    <row r="1823" spans="1:1" x14ac:dyDescent="0.3">
      <c r="A1823" s="7"/>
    </row>
    <row r="1824" spans="1:1" x14ac:dyDescent="0.3">
      <c r="A1824" s="7"/>
    </row>
    <row r="1825" spans="1:1" x14ac:dyDescent="0.3">
      <c r="A1825" s="7"/>
    </row>
    <row r="1826" spans="1:1" x14ac:dyDescent="0.3">
      <c r="A1826" s="7"/>
    </row>
    <row r="1827" spans="1:1" x14ac:dyDescent="0.3">
      <c r="A1827" s="7"/>
    </row>
    <row r="1828" spans="1:1" x14ac:dyDescent="0.3">
      <c r="A1828" s="7"/>
    </row>
    <row r="1829" spans="1:1" x14ac:dyDescent="0.3">
      <c r="A1829" s="7"/>
    </row>
    <row r="1830" spans="1:1" x14ac:dyDescent="0.3">
      <c r="A1830" s="7"/>
    </row>
    <row r="1831" spans="1:1" x14ac:dyDescent="0.3">
      <c r="A1831" s="7"/>
    </row>
    <row r="1832" spans="1:1" x14ac:dyDescent="0.3">
      <c r="A1832" s="7"/>
    </row>
    <row r="1833" spans="1:1" x14ac:dyDescent="0.3">
      <c r="A1833" s="7"/>
    </row>
    <row r="1834" spans="1:1" x14ac:dyDescent="0.3">
      <c r="A1834" s="7"/>
    </row>
    <row r="1835" spans="1:1" x14ac:dyDescent="0.3">
      <c r="A1835" s="7"/>
    </row>
    <row r="1836" spans="1:1" x14ac:dyDescent="0.3">
      <c r="A1836" s="7"/>
    </row>
    <row r="1837" spans="1:1" x14ac:dyDescent="0.3">
      <c r="A1837" s="7"/>
    </row>
    <row r="1838" spans="1:1" x14ac:dyDescent="0.3">
      <c r="A1838" s="7"/>
    </row>
    <row r="1839" spans="1:1" x14ac:dyDescent="0.3">
      <c r="A1839" s="7"/>
    </row>
    <row r="1840" spans="1:1" x14ac:dyDescent="0.3">
      <c r="A1840" s="7"/>
    </row>
    <row r="1841" spans="1:1" x14ac:dyDescent="0.3">
      <c r="A1841" s="7"/>
    </row>
    <row r="1842" spans="1:1" x14ac:dyDescent="0.3">
      <c r="A1842" s="7"/>
    </row>
    <row r="1843" spans="1:1" x14ac:dyDescent="0.3">
      <c r="A1843" s="7"/>
    </row>
    <row r="1844" spans="1:1" x14ac:dyDescent="0.3">
      <c r="A1844" s="7"/>
    </row>
    <row r="1845" spans="1:1" x14ac:dyDescent="0.3">
      <c r="A1845" s="7"/>
    </row>
    <row r="1846" spans="1:1" x14ac:dyDescent="0.3">
      <c r="A1846" s="7"/>
    </row>
    <row r="1847" spans="1:1" x14ac:dyDescent="0.3">
      <c r="A1847" s="7"/>
    </row>
    <row r="1848" spans="1:1" x14ac:dyDescent="0.3">
      <c r="A1848" s="7"/>
    </row>
    <row r="1849" spans="1:1" x14ac:dyDescent="0.3">
      <c r="A1849" s="7"/>
    </row>
    <row r="1850" spans="1:1" x14ac:dyDescent="0.3">
      <c r="A1850" s="7"/>
    </row>
    <row r="1851" spans="1:1" x14ac:dyDescent="0.3">
      <c r="A1851" s="7"/>
    </row>
    <row r="1852" spans="1:1" x14ac:dyDescent="0.3">
      <c r="A1852" s="7"/>
    </row>
    <row r="1853" spans="1:1" x14ac:dyDescent="0.3">
      <c r="A1853" s="7"/>
    </row>
    <row r="1854" spans="1:1" x14ac:dyDescent="0.3">
      <c r="A1854" s="7"/>
    </row>
    <row r="1855" spans="1:1" x14ac:dyDescent="0.3">
      <c r="A1855" s="7"/>
    </row>
    <row r="1856" spans="1:1" x14ac:dyDescent="0.3">
      <c r="A1856" s="7"/>
    </row>
    <row r="1857" spans="1:1" x14ac:dyDescent="0.3">
      <c r="A1857" s="7"/>
    </row>
    <row r="1858" spans="1:1" x14ac:dyDescent="0.3">
      <c r="A1858" s="7"/>
    </row>
    <row r="1859" spans="1:1" x14ac:dyDescent="0.3">
      <c r="A1859" s="7"/>
    </row>
    <row r="1860" spans="1:1" x14ac:dyDescent="0.3">
      <c r="A1860" s="7"/>
    </row>
    <row r="1861" spans="1:1" x14ac:dyDescent="0.3">
      <c r="A1861" s="7"/>
    </row>
    <row r="1862" spans="1:1" x14ac:dyDescent="0.3">
      <c r="A1862" s="7"/>
    </row>
    <row r="1863" spans="1:1" x14ac:dyDescent="0.3">
      <c r="A1863" s="7"/>
    </row>
    <row r="1864" spans="1:1" x14ac:dyDescent="0.3">
      <c r="A1864" s="7"/>
    </row>
    <row r="1865" spans="1:1" x14ac:dyDescent="0.3">
      <c r="A1865" s="7"/>
    </row>
    <row r="1866" spans="1:1" x14ac:dyDescent="0.3">
      <c r="A1866" s="7"/>
    </row>
    <row r="1867" spans="1:1" x14ac:dyDescent="0.3">
      <c r="A1867" s="7"/>
    </row>
    <row r="1868" spans="1:1" x14ac:dyDescent="0.3">
      <c r="A1868" s="7"/>
    </row>
    <row r="1869" spans="1:1" x14ac:dyDescent="0.3">
      <c r="A1869" s="7"/>
    </row>
    <row r="1870" spans="1:1" x14ac:dyDescent="0.3">
      <c r="A1870" s="7"/>
    </row>
    <row r="1871" spans="1:1" x14ac:dyDescent="0.3">
      <c r="A1871" s="7"/>
    </row>
    <row r="1872" spans="1:1" x14ac:dyDescent="0.3">
      <c r="A1872" s="7"/>
    </row>
    <row r="1873" spans="1:1" x14ac:dyDescent="0.3">
      <c r="A1873" s="7"/>
    </row>
    <row r="1874" spans="1:1" x14ac:dyDescent="0.3">
      <c r="A1874" s="7"/>
    </row>
    <row r="1875" spans="1:1" x14ac:dyDescent="0.3">
      <c r="A1875" s="7"/>
    </row>
    <row r="1876" spans="1:1" x14ac:dyDescent="0.3">
      <c r="A1876" s="7"/>
    </row>
    <row r="1877" spans="1:1" x14ac:dyDescent="0.3">
      <c r="A1877" s="7"/>
    </row>
    <row r="1878" spans="1:1" x14ac:dyDescent="0.3">
      <c r="A1878" s="7"/>
    </row>
    <row r="1879" spans="1:1" x14ac:dyDescent="0.3">
      <c r="A1879" s="7"/>
    </row>
    <row r="1880" spans="1:1" x14ac:dyDescent="0.3">
      <c r="A1880" s="7"/>
    </row>
    <row r="1881" spans="1:1" x14ac:dyDescent="0.3">
      <c r="A1881" s="7"/>
    </row>
    <row r="1882" spans="1:1" x14ac:dyDescent="0.3">
      <c r="A1882" s="7"/>
    </row>
    <row r="1883" spans="1:1" x14ac:dyDescent="0.3">
      <c r="A1883" s="7"/>
    </row>
    <row r="1884" spans="1:1" x14ac:dyDescent="0.3">
      <c r="A1884" s="7"/>
    </row>
    <row r="1885" spans="1:1" x14ac:dyDescent="0.3">
      <c r="A1885" s="7"/>
    </row>
    <row r="1886" spans="1:1" x14ac:dyDescent="0.3">
      <c r="A1886" s="7"/>
    </row>
    <row r="1887" spans="1:1" x14ac:dyDescent="0.3">
      <c r="A1887" s="7"/>
    </row>
    <row r="1888" spans="1:1" x14ac:dyDescent="0.3">
      <c r="A1888" s="7"/>
    </row>
    <row r="1889" spans="1:1" x14ac:dyDescent="0.3">
      <c r="A1889" s="7"/>
    </row>
    <row r="1890" spans="1:1" x14ac:dyDescent="0.3">
      <c r="A1890" s="7"/>
    </row>
    <row r="1891" spans="1:1" x14ac:dyDescent="0.3">
      <c r="A1891" s="7"/>
    </row>
    <row r="1892" spans="1:1" x14ac:dyDescent="0.3">
      <c r="A1892" s="7"/>
    </row>
    <row r="1893" spans="1:1" x14ac:dyDescent="0.3">
      <c r="A1893" s="7"/>
    </row>
    <row r="1894" spans="1:1" x14ac:dyDescent="0.3">
      <c r="A1894" s="7"/>
    </row>
    <row r="1895" spans="1:1" x14ac:dyDescent="0.3">
      <c r="A1895" s="7"/>
    </row>
    <row r="1896" spans="1:1" x14ac:dyDescent="0.3">
      <c r="A1896" s="7"/>
    </row>
    <row r="1897" spans="1:1" x14ac:dyDescent="0.3">
      <c r="A1897" s="7"/>
    </row>
    <row r="1898" spans="1:1" x14ac:dyDescent="0.3">
      <c r="A1898" s="7"/>
    </row>
    <row r="1899" spans="1:1" x14ac:dyDescent="0.3">
      <c r="A1899" s="7"/>
    </row>
    <row r="1900" spans="1:1" x14ac:dyDescent="0.3">
      <c r="A1900" s="7"/>
    </row>
    <row r="1901" spans="1:1" x14ac:dyDescent="0.3">
      <c r="A1901" s="7"/>
    </row>
    <row r="1902" spans="1:1" x14ac:dyDescent="0.3">
      <c r="A1902" s="7"/>
    </row>
    <row r="1903" spans="1:1" x14ac:dyDescent="0.3">
      <c r="A1903" s="7"/>
    </row>
    <row r="1904" spans="1:1" x14ac:dyDescent="0.3">
      <c r="A1904" s="7"/>
    </row>
    <row r="1905" spans="1:1" x14ac:dyDescent="0.3">
      <c r="A1905" s="7"/>
    </row>
    <row r="1906" spans="1:1" x14ac:dyDescent="0.3">
      <c r="A1906" s="7"/>
    </row>
    <row r="1907" spans="1:1" x14ac:dyDescent="0.3">
      <c r="A1907" s="7"/>
    </row>
    <row r="1908" spans="1:1" x14ac:dyDescent="0.3">
      <c r="A1908" s="7"/>
    </row>
    <row r="1909" spans="1:1" x14ac:dyDescent="0.3">
      <c r="A1909" s="7"/>
    </row>
    <row r="1910" spans="1:1" x14ac:dyDescent="0.3">
      <c r="A1910" s="7"/>
    </row>
    <row r="1911" spans="1:1" x14ac:dyDescent="0.3">
      <c r="A1911" s="7"/>
    </row>
    <row r="1912" spans="1:1" x14ac:dyDescent="0.3">
      <c r="A1912" s="7"/>
    </row>
    <row r="1913" spans="1:1" x14ac:dyDescent="0.3">
      <c r="A1913" s="7"/>
    </row>
    <row r="1914" spans="1:1" x14ac:dyDescent="0.3">
      <c r="A1914" s="7"/>
    </row>
    <row r="1915" spans="1:1" x14ac:dyDescent="0.3">
      <c r="A1915" s="7"/>
    </row>
    <row r="1916" spans="1:1" x14ac:dyDescent="0.3">
      <c r="A1916" s="7"/>
    </row>
    <row r="1917" spans="1:1" x14ac:dyDescent="0.3">
      <c r="A1917" s="7"/>
    </row>
    <row r="1918" spans="1:1" x14ac:dyDescent="0.3">
      <c r="A1918" s="7"/>
    </row>
    <row r="1919" spans="1:1" x14ac:dyDescent="0.3">
      <c r="A1919" s="7"/>
    </row>
    <row r="1920" spans="1:1" x14ac:dyDescent="0.3">
      <c r="A1920" s="7"/>
    </row>
    <row r="1921" spans="1:1" x14ac:dyDescent="0.3">
      <c r="A1921" s="7"/>
    </row>
    <row r="1922" spans="1:1" x14ac:dyDescent="0.3">
      <c r="A1922" s="7"/>
    </row>
    <row r="1923" spans="1:1" x14ac:dyDescent="0.3">
      <c r="A1923" s="7"/>
    </row>
    <row r="1924" spans="1:1" x14ac:dyDescent="0.3">
      <c r="A1924" s="7"/>
    </row>
    <row r="1925" spans="1:1" x14ac:dyDescent="0.3">
      <c r="A1925" s="7"/>
    </row>
    <row r="1926" spans="1:1" x14ac:dyDescent="0.3">
      <c r="A1926" s="7"/>
    </row>
    <row r="1927" spans="1:1" x14ac:dyDescent="0.3">
      <c r="A1927" s="7"/>
    </row>
    <row r="1928" spans="1:1" x14ac:dyDescent="0.3">
      <c r="A1928" s="7"/>
    </row>
    <row r="1929" spans="1:1" x14ac:dyDescent="0.3">
      <c r="A1929" s="7"/>
    </row>
    <row r="1930" spans="1:1" x14ac:dyDescent="0.3">
      <c r="A1930" s="7"/>
    </row>
    <row r="1931" spans="1:1" x14ac:dyDescent="0.3">
      <c r="A1931" s="7"/>
    </row>
    <row r="1932" spans="1:1" x14ac:dyDescent="0.3">
      <c r="A1932" s="7"/>
    </row>
    <row r="1933" spans="1:1" x14ac:dyDescent="0.3">
      <c r="A1933" s="7"/>
    </row>
    <row r="1934" spans="1:1" x14ac:dyDescent="0.3">
      <c r="A1934" s="7"/>
    </row>
    <row r="1935" spans="1:1" x14ac:dyDescent="0.3">
      <c r="A1935" s="7"/>
    </row>
    <row r="1936" spans="1:1" x14ac:dyDescent="0.3">
      <c r="A1936" s="7"/>
    </row>
    <row r="1937" spans="1:1" x14ac:dyDescent="0.3">
      <c r="A1937" s="7"/>
    </row>
    <row r="1938" spans="1:1" x14ac:dyDescent="0.3">
      <c r="A1938" s="7"/>
    </row>
    <row r="1939" spans="1:1" x14ac:dyDescent="0.3">
      <c r="A1939" s="7"/>
    </row>
    <row r="1940" spans="1:1" x14ac:dyDescent="0.3">
      <c r="A1940" s="7"/>
    </row>
    <row r="1941" spans="1:1" x14ac:dyDescent="0.3">
      <c r="A1941" s="7"/>
    </row>
    <row r="1942" spans="1:1" x14ac:dyDescent="0.3">
      <c r="A1942" s="7"/>
    </row>
    <row r="1943" spans="1:1" x14ac:dyDescent="0.3">
      <c r="A1943" s="7"/>
    </row>
    <row r="1944" spans="1:1" x14ac:dyDescent="0.3">
      <c r="A1944" s="7"/>
    </row>
    <row r="1945" spans="1:1" x14ac:dyDescent="0.3">
      <c r="A1945" s="7"/>
    </row>
    <row r="1946" spans="1:1" x14ac:dyDescent="0.3">
      <c r="A1946" s="7"/>
    </row>
    <row r="1947" spans="1:1" x14ac:dyDescent="0.3">
      <c r="A1947" s="7"/>
    </row>
    <row r="1948" spans="1:1" x14ac:dyDescent="0.3">
      <c r="A1948" s="7"/>
    </row>
    <row r="1949" spans="1:1" x14ac:dyDescent="0.3">
      <c r="A1949" s="7"/>
    </row>
    <row r="1950" spans="1:1" x14ac:dyDescent="0.3">
      <c r="A1950" s="7"/>
    </row>
    <row r="1951" spans="1:1" x14ac:dyDescent="0.3">
      <c r="A1951" s="7"/>
    </row>
    <row r="1952" spans="1:1" x14ac:dyDescent="0.3">
      <c r="A1952" s="7"/>
    </row>
    <row r="1953" spans="1:1" x14ac:dyDescent="0.3">
      <c r="A1953" s="7"/>
    </row>
    <row r="1954" spans="1:1" x14ac:dyDescent="0.3">
      <c r="A1954" s="7"/>
    </row>
    <row r="1955" spans="1:1" x14ac:dyDescent="0.3">
      <c r="A1955" s="7"/>
    </row>
    <row r="1956" spans="1:1" x14ac:dyDescent="0.3">
      <c r="A1956" s="7"/>
    </row>
    <row r="1957" spans="1:1" x14ac:dyDescent="0.3">
      <c r="A1957" s="7"/>
    </row>
    <row r="1958" spans="1:1" x14ac:dyDescent="0.3">
      <c r="A1958" s="7"/>
    </row>
    <row r="1959" spans="1:1" x14ac:dyDescent="0.3">
      <c r="A1959" s="7"/>
    </row>
    <row r="1960" spans="1:1" x14ac:dyDescent="0.3">
      <c r="A1960" s="7"/>
    </row>
    <row r="1961" spans="1:1" x14ac:dyDescent="0.3">
      <c r="A1961" s="7"/>
    </row>
    <row r="1962" spans="1:1" x14ac:dyDescent="0.3">
      <c r="A1962" s="7"/>
    </row>
    <row r="1963" spans="1:1" x14ac:dyDescent="0.3">
      <c r="A1963" s="7"/>
    </row>
    <row r="1964" spans="1:1" x14ac:dyDescent="0.3">
      <c r="A1964" s="7"/>
    </row>
    <row r="1965" spans="1:1" x14ac:dyDescent="0.3">
      <c r="A1965" s="7"/>
    </row>
    <row r="1966" spans="1:1" x14ac:dyDescent="0.3">
      <c r="A1966" s="7"/>
    </row>
    <row r="1967" spans="1:1" x14ac:dyDescent="0.3">
      <c r="A1967" s="7"/>
    </row>
    <row r="1968" spans="1:1" x14ac:dyDescent="0.3">
      <c r="A1968" s="7"/>
    </row>
    <row r="1969" spans="1:1" x14ac:dyDescent="0.3">
      <c r="A1969" s="7"/>
    </row>
    <row r="1970" spans="1:1" x14ac:dyDescent="0.3">
      <c r="A1970" s="7"/>
    </row>
    <row r="1971" spans="1:1" x14ac:dyDescent="0.3">
      <c r="A1971" s="7"/>
    </row>
    <row r="1972" spans="1:1" x14ac:dyDescent="0.3">
      <c r="A1972" s="7"/>
    </row>
    <row r="1973" spans="1:1" x14ac:dyDescent="0.3">
      <c r="A1973" s="7"/>
    </row>
    <row r="1974" spans="1:1" x14ac:dyDescent="0.3">
      <c r="A1974" s="7"/>
    </row>
    <row r="1975" spans="1:1" x14ac:dyDescent="0.3">
      <c r="A1975" s="7"/>
    </row>
    <row r="1976" spans="1:1" x14ac:dyDescent="0.3">
      <c r="A1976" s="7"/>
    </row>
    <row r="1977" spans="1:1" x14ac:dyDescent="0.3">
      <c r="A1977" s="7"/>
    </row>
    <row r="1978" spans="1:1" x14ac:dyDescent="0.3">
      <c r="A1978" s="7"/>
    </row>
    <row r="1979" spans="1:1" x14ac:dyDescent="0.3">
      <c r="A1979" s="7"/>
    </row>
    <row r="1980" spans="1:1" x14ac:dyDescent="0.3">
      <c r="A1980" s="7"/>
    </row>
    <row r="1981" spans="1:1" x14ac:dyDescent="0.3">
      <c r="A1981" s="7"/>
    </row>
    <row r="1982" spans="1:1" x14ac:dyDescent="0.3">
      <c r="A1982" s="7"/>
    </row>
    <row r="1983" spans="1:1" x14ac:dyDescent="0.3">
      <c r="A1983" s="7"/>
    </row>
    <row r="1984" spans="1:1" x14ac:dyDescent="0.3">
      <c r="A1984" s="7"/>
    </row>
    <row r="1985" spans="1:1" x14ac:dyDescent="0.3">
      <c r="A1985" s="7"/>
    </row>
    <row r="1986" spans="1:1" x14ac:dyDescent="0.3">
      <c r="A1986" s="7"/>
    </row>
    <row r="1987" spans="1:1" x14ac:dyDescent="0.3">
      <c r="A1987" s="7"/>
    </row>
    <row r="1988" spans="1:1" x14ac:dyDescent="0.3">
      <c r="A1988" s="7"/>
    </row>
    <row r="1989" spans="1:1" x14ac:dyDescent="0.3">
      <c r="A1989" s="7"/>
    </row>
    <row r="1990" spans="1:1" x14ac:dyDescent="0.3">
      <c r="A1990" s="7"/>
    </row>
    <row r="1991" spans="1:1" x14ac:dyDescent="0.3">
      <c r="A1991" s="7"/>
    </row>
    <row r="1992" spans="1:1" x14ac:dyDescent="0.3">
      <c r="A1992" s="7"/>
    </row>
    <row r="1993" spans="1:1" x14ac:dyDescent="0.3">
      <c r="A1993" s="7"/>
    </row>
    <row r="1994" spans="1:1" x14ac:dyDescent="0.3">
      <c r="A1994" s="7"/>
    </row>
    <row r="1995" spans="1:1" x14ac:dyDescent="0.3">
      <c r="A1995" s="7"/>
    </row>
    <row r="1996" spans="1:1" x14ac:dyDescent="0.3">
      <c r="A1996" s="7"/>
    </row>
    <row r="1997" spans="1:1" x14ac:dyDescent="0.3">
      <c r="A1997" s="7"/>
    </row>
    <row r="1998" spans="1:1" x14ac:dyDescent="0.3">
      <c r="A1998" s="7"/>
    </row>
    <row r="1999" spans="1:1" x14ac:dyDescent="0.3">
      <c r="A1999" s="7"/>
    </row>
    <row r="2000" spans="1:1" x14ac:dyDescent="0.3">
      <c r="A2000" s="7"/>
    </row>
    <row r="2001" spans="1:1" x14ac:dyDescent="0.3">
      <c r="A2001" s="7"/>
    </row>
    <row r="2002" spans="1:1" x14ac:dyDescent="0.3">
      <c r="A2002" s="7"/>
    </row>
    <row r="2003" spans="1:1" x14ac:dyDescent="0.3">
      <c r="A2003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bb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2024-10-22T04:09:06Z</dcterms:created>
  <dcterms:modified xsi:type="dcterms:W3CDTF">2026-08-27T02:53:44Z</dcterms:modified>
</cp:coreProperties>
</file>